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563ac4184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e416dc106944a38"/>
    <x:sheet xmlns:r="http://schemas.openxmlformats.org/officeDocument/2006/relationships" name="Daily Schedule" sheetId="2" r:id="R72282100328e454a"/>
    <x:sheet xmlns:r="http://schemas.openxmlformats.org/officeDocument/2006/relationships" name="Day Focus" sheetId="3" r:id="Rb5869f5a831b4c20"/>
    <x:sheet xmlns:r="http://schemas.openxmlformats.org/officeDocument/2006/relationships" name="Decision Log" sheetId="4" r:id="R069a3c62243e47bf"/>
    <x:sheet xmlns:r="http://schemas.openxmlformats.org/officeDocument/2006/relationships" name="Simulation Runs" sheetId="5" r:id="R030d7706a7fc4dbf"/>
    <x:sheet xmlns:r="http://schemas.openxmlformats.org/officeDocument/2006/relationships" name="Build Readiness Gate" sheetId="6" r:id="R3df2399de08d4923"/>
    <x:sheet xmlns:r="http://schemas.openxmlformats.org/officeDocument/2006/relationships" name="Build in Public Later" sheetId="7" r:id="R1ba7963836d042af"/>
    <x:sheet xmlns:r="http://schemas.openxmlformats.org/officeDocument/2006/relationships" name="Resources &amp; Templates" sheetId="8" r:id="Rb720763ad10f4fb5"/>
    <x:sheet xmlns:r="http://schemas.openxmlformats.org/officeDocument/2006/relationships" name="Instructions" sheetId="9" r:id="Re11b0bd56168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3"/>
      <x:name val="Carlito"/>
    </x:font>
    <x:font>
      <x:sz val="11"/>
      <x:color rgb="FF102A43"/>
      <x:name val="Carlito"/>
    </x:font>
    <x:font>
      <x:b/>
      <x:sz val="11"/>
      <x:color rgb="FF7C3AED"/>
      <x:name val="Carlito"/>
    </x:font>
    <x:font>
      <x:i/>
      <x:sz val="10"/>
      <x:color rgb="FF102A4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F1F5F9"/>
      </x:patternFill>
    </x:fill>
    <x:fill>
      <x:patternFill patternType="solid">
        <x:fgColor rgb="FFEFF6FF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color rgb="FF64748B"/>
      </x:font>
      <x:fill>
        <x:patternFill patternType="solid">
          <x:bgColor rgb="FFE2E8F0"/>
        </x:patternFill>
      </x:fill>
    </x:dxf>
    <x:dxf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58a55d33d49f0" /><Relationship Type="http://schemas.openxmlformats.org/officeDocument/2006/relationships/theme" Target="/xl/theme/theme1.xml" Id="Rfad6805541554766" /><Relationship Type="http://schemas.openxmlformats.org/officeDocument/2006/relationships/sharedStrings" Target="/xl/sharedStrings.xml" Id="R7fd6f7eb52134e49" /><Relationship Type="http://schemas.openxmlformats.org/officeDocument/2006/relationships/worksheet" Target="/xl/worksheets/sheet1.xml" Id="R8e416dc106944a38" /><Relationship Type="http://schemas.openxmlformats.org/officeDocument/2006/relationships/worksheet" Target="/xl/worksheets/sheet2.xml" Id="R72282100328e454a" /><Relationship Type="http://schemas.openxmlformats.org/officeDocument/2006/relationships/worksheet" Target="/xl/worksheets/sheet3.xml" Id="Rb5869f5a831b4c20" /><Relationship Type="http://schemas.openxmlformats.org/officeDocument/2006/relationships/worksheet" Target="/xl/worksheets/sheet4.xml" Id="R069a3c62243e47bf" /><Relationship Type="http://schemas.openxmlformats.org/officeDocument/2006/relationships/worksheet" Target="/xl/worksheets/sheet5.xml" Id="R030d7706a7fc4dbf" /><Relationship Type="http://schemas.openxmlformats.org/officeDocument/2006/relationships/worksheet" Target="/xl/worksheets/sheet6.xml" Id="R3df2399de08d4923" /><Relationship Type="http://schemas.openxmlformats.org/officeDocument/2006/relationships/worksheet" Target="/xl/worksheets/sheet7.xml" Id="R1ba7963836d042af" /><Relationship Type="http://schemas.openxmlformats.org/officeDocument/2006/relationships/worksheet" Target="/xl/worksheets/sheet8.xml" Id="Rb720763ad10f4fb5" /><Relationship Type="http://schemas.openxmlformats.org/officeDocument/2006/relationships/worksheet" Target="/xl/worksheets/sheet9.xml" Id="Re11b0bd5616846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364a14bc6f45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Count by Phase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Tasks</c:v>
          </c:tx>
          <c:cat>
            <c:strRef>
              <c:f>'Dashboard'!$A$14:$A$33</c:f>
              <c:strCache>
                <c:ptCount val="0"/>
              </c:strCache>
            </c:strRef>
          </c:cat>
          <c:val>
            <c:numRef>
              <c:f>'Dashboard'!$B$14:$B$33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18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364a14bc6f45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Table" displayName="TasksTable" ref="A4:U183" headerRowCount="1">
  <x:tableColumns count="21">
    <x:tableColumn id="1" name="Task ID"/>
    <x:tableColumn id="2" name="Date"/>
    <x:tableColumn id="3" name="Week"/>
    <x:tableColumn id="4" name="Phase"/>
    <x:tableColumn id="5" name="Day Focus"/>
    <x:tableColumn id="6" name="Time Block"/>
    <x:tableColumn id="7" name="Task Description"/>
    <x:tableColumn id="8" name="Output / Evidence"/>
    <x:tableColumn id="9" name="Est. Hours"/>
    <x:tableColumn id="10" name="Deadline"/>
    <x:tableColumn id="11" name="Priority"/>
    <x:tableColumn id="12" name="Status"/>
    <x:tableColumn id="13" name="Done?"/>
    <x:tableColumn id="14" name="Dependencies"/>
    <x:tableColumn id="15" name="Decision?"/>
    <x:tableColumn id="16" name="Key Decision / Question"/>
    <x:tableColumn id="17" name="Notes / Comments"/>
    <x:tableColumn id="18" name="Source / Template Link"/>
    <x:tableColumn id="19" name="Owner"/>
    <x:tableColumn id="20" name="Progress Weight"/>
    <x:tableColumn id="21" name="Days to Deadline"/>
  </x:tableColumns>
  <x:tableStyleInfo name="TableStyleMedium2" showRowStripes="1"/>
</x:table>
</file>

<file path=xl/tables/table2.xml><?xml version="1.0" encoding="utf-8"?>
<x:table xmlns:x="http://schemas.openxmlformats.org/spreadsheetml/2006/main" id="2" name="DayFocusTable" displayName="DayFocusTable" ref="A4:I79" headerRowCount="1">
  <x:tableColumns count="9">
    <x:tableColumn id="1" name="Date"/>
    <x:tableColumn id="2" name="Day"/>
    <x:tableColumn id="3" name="Phase"/>
    <x:tableColumn id="4" name="Main Focus"/>
    <x:tableColumn id="5" name="Priority Outcome"/>
    <x:tableColumn id="6" name="Key Decision / Attention"/>
    <x:tableColumn id="7" name="Suggested Workload"/>
    <x:tableColumn id="8" name="Status"/>
    <x:tableColumn id="9" name="Daily Notes"/>
  </x:tableColumns>
  <x:tableStyleInfo name="TableStyleMedium2" showRowStripes="1"/>
</x:table>
</file>

<file path=xl/tables/table3.xml><?xml version="1.0" encoding="utf-8"?>
<x:table xmlns:x="http://schemas.openxmlformats.org/spreadsheetml/2006/main" id="3" name="DecisionLogTable" displayName="DecisionLogTable" ref="A4:J14" headerRowCount="1">
  <x:tableColumns count="10">
    <x:tableColumn id="1" name="Decision ID"/>
    <x:tableColumn id="2" name="Due Date"/>
    <x:tableColumn id="3" name="Area"/>
    <x:tableColumn id="4" name="Decision Needed"/>
    <x:tableColumn id="5" name="Default / Recommendation"/>
    <x:tableColumn id="6" name="Why It Matters"/>
    <x:tableColumn id="7" name="Status"/>
    <x:tableColumn id="8" name="Owner"/>
    <x:tableColumn id="9" name="Linked Tasks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imulationRunTable" displayName="SimulationRunTable" ref="A4:M12" headerRowCount="1">
  <x:tableColumns count="13">
    <x:tableColumn id="1" name="Run ID"/>
    <x:tableColumn id="2" name="Planned Date"/>
    <x:tableColumn id="3" name="Type"/>
    <x:tableColumn id="4" name="Tool"/>
    <x:tableColumn id="5" name="Model Version"/>
    <x:tableColumn id="6" name="Variant / Question"/>
    <x:tableColumn id="7" name="Key Inputs"/>
    <x:tableColumn id="8" name="Metric"/>
    <x:tableColumn id="9" name="Target"/>
    <x:tableColumn id="10" name="Result"/>
    <x:tableColumn id="11" name="Pass?"/>
    <x:tableColumn id="12" name="Next Action"/>
    <x:tableColumn id="13" name="Evidence Link / Notes"/>
  </x:tableColumns>
  <x:tableStyleInfo name="TableStyleMedium2" showRowStripes="1"/>
</x:table>
</file>

<file path=xl/tables/table5.xml><?xml version="1.0" encoding="utf-8"?>
<x:table xmlns:x="http://schemas.openxmlformats.org/spreadsheetml/2006/main" id="5" name="BuildReadinessGateTable" displayName="BuildReadinessGateTable" ref="A4:H19" headerRowCount="1">
  <x:tableColumns count="8">
    <x:tableColumn id="1" name="Gate"/>
    <x:tableColumn id="2" name="Criterion"/>
    <x:tableColumn id="3" name="Target / Acceptance"/>
    <x:tableColumn id="4" name="Status"/>
    <x:tableColumn id="5" name="Due Date"/>
    <x:tableColumn id="6" name="Evidence Needed"/>
    <x:tableColumn id="7" name="Owner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uildInPublicTable" displayName="BuildInPublicTable" ref="A4:I10" headerRowCount="1">
  <x:tableColumns count="9">
    <x:tableColumn id="1" name="Item"/>
    <x:tableColumn id="2" name="When to Use"/>
    <x:tableColumn id="3" name="Public Content"/>
    <x:tableColumn id="4" name="Private Evidence Source"/>
    <x:tableColumn id="5" name="Status"/>
    <x:tableColumn id="6" name="Risk Check"/>
    <x:tableColumn id="7" name="Owner"/>
    <x:tableColumn id="8" name="Suggested Channel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esourcesTable" displayName="ResourcesTable" ref="A4:H14" headerRowCount="1">
  <x:tableColumns count="8">
    <x:tableColumn id="1" name="Category"/>
    <x:tableColumn id="2" name="Resource"/>
    <x:tableColumn id="3" name="Best Use"/>
    <x:tableColumn id="4" name="Cost / Access Notes"/>
    <x:tableColumn id="5" name="URL"/>
    <x:tableColumn id="6" name="When to Use"/>
    <x:tableColumn id="7" name="Risk / Caveat"/>
    <x:tableColumn id="8" name="Tracker Link"/>
  </x:tableColumns>
  <x:tableStyleInfo name="TableStyleMedium2" showRowStripes="1"/>
</x:table>
</file>

<file path=xl/tables/table8.xml><?xml version="1.0" encoding="utf-8"?>
<x:table xmlns:x="http://schemas.openxmlformats.org/spreadsheetml/2006/main" id="8" name="InstructionsTable" displayName="InstructionsTable" ref="A4:F11" headerRowCount="1">
  <x:tableColumns count="6">
    <x:tableColumn id="1" name="Step"/>
    <x:tableColumn id="2" name="Action"/>
    <x:tableColumn id="3" name="Where"/>
    <x:tableColumn id="4" name="Frequency"/>
    <x:tableColumn id="5" name="Why It Matters"/>
    <x:tableColumn id="6" name="Customization Ti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e16b73d7d849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d9ea411a4e4c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57b160637b44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a806fde8be4b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81988e33464c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4daa07af424a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32e88aa88645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cd1264f4d42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7b268daf68479d" /></Relationships>
</file>

<file path=xl/worksheets/sheet1.xml><?xml version="1.0" encoding="utf-8"?>
<x:worksheet xmlns:x="http://schemas.openxmlformats.org/spreadsheetml/2006/main">
  <x:sheetFormatPr defaultRowHeight="15"/>
  <x:cols>
    <x:col min="7" max="7" width="62" hidden="0" customWidth="1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8" max="8" width="26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86" t="str">
        <x:v>Soapbox Build Command Center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Daily tracker for design validation, simulation, build preparation, testing, and a later build-in-public launch.</x:v>
      </x:c>
    </x:row>
    <x:row r="4" ht="28" customHeight="1">
      <x:c r="A4" s="23" t="str">
        <x:v>Total Tasks</x:v>
      </x:c>
      <x:c r="B4" s="23" t="str">
        <x:v>Done</x:v>
      </x:c>
      <x:c r="C4" s="23" t="str">
        <x:v>In Progress</x:v>
      </x:c>
      <x:c r="D4" s="23" t="str">
        <x:v>Blocked</x:v>
      </x:c>
      <x:c r="E4" s="23" t="str">
        <x:v>Open Decisions</x:v>
      </x:c>
      <x:c r="F4" s="23" t="str">
        <x:v>Due Today</x:v>
      </x:c>
      <x:c r="G4" s="23" t="str">
        <x:v>Overall Progress</x:v>
      </x:c>
      <x:c r="H4" s="23" t="str">
        <x:v>Next Gate</x:v>
      </x:c>
    </x:row>
    <x:row r="5" ht="32" customHeight="1">
      <x:c r="A5" s="53" t="n">
        <x:f>COUNTA('Daily Schedule'!$A$5:$A$183)</x:f>
        <x:v>179</x:v>
      </x:c>
      <x:c r="B5" s="53" t="n">
        <x:f>COUNTIF('Daily Schedule'!$M$5:$M$183,"☑")</x:f>
        <x:v>0</x:v>
      </x:c>
      <x:c r="C5" s="53" t="n">
        <x:f>COUNTIF('Daily Schedule'!$L$5:$L$183,"In Progress")</x:f>
        <x:v>0</x:v>
      </x:c>
      <x:c r="D5" s="53" t="n">
        <x:f>COUNTIF('Daily Schedule'!$L$5:$L$183,"Blocked")</x:f>
        <x:v>0</x:v>
      </x:c>
      <x:c r="E5" s="53" t="n">
        <x:f>COUNTIFS('Daily Schedule'!$O$5:$O$183,"Yes",'Daily Schedule'!$M$5:$M$183,"☐")</x:f>
        <x:v>33</x:v>
      </x:c>
      <x:c r="F5" s="53" t="n">
        <x:f>COUNTIF('Daily Schedule'!$B$5:$B$183,TODAY())</x:f>
        <x:v>3</x:v>
      </x:c>
      <x:c r="G5" s="58" t="n">
        <x:f>IF(A5=0,0,B5/A5)</x:f>
        <x:v>0</x:v>
      </x:c>
      <x:c r="H5" s="53" t="str">
        <x:f>"Gate 1: Design Freeze v1 by 2026-07-10"</x:f>
        <x:v>Gate 1: Design Freeze v1 by 2026-07-10</x:v>
      </x:c>
    </x:row>
    <x:row r="8" ht="44" customHeight="1">
      <x:c r="A8" s="90" t="str">
        <x:v>Today's Focus</x:v>
      </x:c>
      <x:c r="B8" s="67" t="str">
        <x:f>IFERROR(INDEX('Day Focus'!$D$5:$D$79,MATCH(TODAY(),'Day Focus'!$A$5:$A$79,0)),"No row for today")</x:f>
        <x:v>Project control room + rules baseline</x:v>
      </x:c>
      <x:c r="C8" s="67"/>
      <x:c r="D8" s="67"/>
      <x:c r="E8" s="67"/>
      <x:c r="F8" s="67"/>
      <x:c r="G8" s="67"/>
      <x:c r="H8" s="67"/>
    </x:row>
    <x:row r="9" ht="44" customHeight="1">
      <x:c r="A9" s="90" t="str">
        <x:v>Today's Priority Outcome</x:v>
      </x:c>
      <x:c r="B9" s="67" t="str">
        <x:f>IFERROR(INDEX('Day Focus'!$E$5:$E$79,MATCH(TODAY(),'Day Focus'!$A$5:$A$79,0)),"No row for today")</x:f>
        <x:v>You know the active constraints, portal status, and design-freeze target.</x:v>
      </x:c>
      <x:c r="C9" s="67"/>
      <x:c r="D9" s="67"/>
      <x:c r="E9" s="67"/>
      <x:c r="F9" s="67"/>
      <x:c r="G9" s="67"/>
      <x:c r="H9" s="67"/>
    </x:row>
    <x:row r="10" ht="44" customHeight="1">
      <x:c r="A10" s="90" t="str">
        <x:v>Today's Decision</x:v>
      </x:c>
      <x:c r="B10" s="67" t="str">
        <x:f>IFERROR(INDEX('Day Focus'!$F$5:$F$79,MATCH(TODAY(),'Day Focus'!$A$5:$A$79,0)),"No decision flagged today")</x:f>
        <x:v>What is the binding application deadline and event date?</x:v>
      </x:c>
      <x:c r="C10" s="67"/>
      <x:c r="D10" s="67"/>
      <x:c r="E10" s="67"/>
      <x:c r="F10" s="67"/>
      <x:c r="G10" s="67"/>
      <x:c r="H10" s="67"/>
    </x:row>
    <x:row r="13">
      <x:c r="A13" s="72" t="str">
        <x:v>Phase</x:v>
      </x:c>
      <x:c r="B13" s="72" t="str">
        <x:v>Total Tasks</x:v>
      </x:c>
      <x:c r="C13" s="72" t="str">
        <x:v>Done</x:v>
      </x:c>
      <x:c r="D13" s="72" t="str">
        <x:v>Progress</x:v>
      </x:c>
      <x:c r="F13" s="74" t="str">
        <x:v>Operating Rules</x:v>
      </x:c>
    </x:row>
    <x:row r="14">
      <x:c r="A14" s="32" t="str">
        <x:v>0. Control Room</x:v>
      </x:c>
      <x:c r="B14" s="32" t="n">
        <x:f>COUNTIF('Daily Schedule'!$D$5:$D$183,$A14)</x:f>
        <x:v>6</x:v>
      </x:c>
      <x:c r="C14" s="32" t="n">
        <x:f>COUNTIFS('Daily Schedule'!$D$5:$D$183,$A14,'Daily Schedule'!$M$5:$M$183,"☑")</x:f>
        <x:v>0</x:v>
      </x:c>
      <x:c r="D14" s="40" t="n">
        <x:f>IF(B14=0,0,C14/B14)</x:f>
        <x:v>0</x:v>
      </x:c>
      <x:c r="F14" s="78" t="str">
        <x:v>1</x:v>
      </x:c>
      <x:c r="G14" s="32" t="str">
        <x:v>Do not build until Gate 1 is defensible: rules, CAD, mass, FEA, CFD, steering/brakes.</x:v>
      </x:c>
    </x:row>
    <x:row r="15">
      <x:c r="A15" s="32" t="str">
        <x:v>1. Concept Geometry</x:v>
      </x:c>
      <x:c r="B15" s="32" t="n">
        <x:f>COUNTIF('Daily Schedule'!$D$5:$D$183,$A15)</x:f>
        <x:v>6</x:v>
      </x:c>
      <x:c r="C15" s="32" t="n">
        <x:f>COUNTIFS('Daily Schedule'!$D$5:$D$183,$A15,'Daily Schedule'!$M$5:$M$183,"☑")</x:f>
        <x:v>0</x:v>
      </x:c>
      <x:c r="D15" s="40" t="n">
        <x:f>IF(B15=0,0,C15/B15)</x:f>
        <x:v>0</x:v>
      </x:c>
      <x:c r="F15" s="78" t="str">
        <x:v>2</x:v>
      </x:c>
      <x:c r="G15" s="32" t="str">
        <x:v>Every simulation run gets a before/after comparison and a decision.</x:v>
      </x:c>
    </x:row>
    <x:row r="16">
      <x:c r="A16" s="32" t="str">
        <x:v>2. CAD Setup</x:v>
      </x:c>
      <x:c r="B16" s="32" t="n">
        <x:f>COUNTIF('Daily Schedule'!$D$5:$D$183,$A16)</x:f>
        <x:v>15</x:v>
      </x:c>
      <x:c r="C16" s="32" t="n">
        <x:f>COUNTIFS('Daily Schedule'!$D$5:$D$183,$A16,'Daily Schedule'!$M$5:$M$183,"☑")</x:f>
        <x:v>0</x:v>
      </x:c>
      <x:c r="D16" s="40" t="n">
        <x:f>IF(B16=0,0,C16/B16)</x:f>
        <x:v>0</x:v>
      </x:c>
      <x:c r="F16" s="78" t="str">
        <x:v>3</x:v>
      </x:c>
      <x:c r="G16" s="32" t="str">
        <x:v>Treat public updates as a later layer; the current job is validation and safety.</x:v>
      </x:c>
    </x:row>
    <x:row r="17">
      <x:c r="A17" s="32" t="str">
        <x:v>3. Mass &amp; Risk</x:v>
      </x:c>
      <x:c r="B17" s="32" t="n">
        <x:f>COUNTIF('Daily Schedule'!$D$5:$D$183,$A17)</x:f>
        <x:v>3</x:v>
      </x:c>
      <x:c r="C17" s="32" t="n">
        <x:f>COUNTIFS('Daily Schedule'!$D$5:$D$183,$A17,'Daily Schedule'!$M$5:$M$183,"☑")</x:f>
        <x:v>0</x:v>
      </x:c>
      <x:c r="D17" s="40" t="n">
        <x:f>IF(B17=0,0,C17/B17)</x:f>
        <x:v>0</x:v>
      </x:c>
      <x:c r="F17" s="78" t="str">
        <x:v>4</x:v>
      </x:c>
      <x:c r="G17" s="32" t="str">
        <x:v>Use P0 tasks as non-negotiable; P3 tasks are decorative confetti with deadlines.</x:v>
      </x:c>
    </x:row>
    <x:row r="18">
      <x:c r="A18" s="32" t="str">
        <x:v>4. Application Package</x:v>
      </x:c>
      <x:c r="B18" s="32" t="n">
        <x:f>COUNTIF('Daily Schedule'!$D$5:$D$183,$A18)</x:f>
        <x:v>6</x:v>
      </x:c>
      <x:c r="C18" s="32" t="n">
        <x:f>COUNTIFS('Daily Schedule'!$D$5:$D$183,$A18,'Daily Schedule'!$M$5:$M$183,"☑")</x:f>
        <x:v>0</x:v>
      </x:c>
      <x:c r="D18" s="40" t="n">
        <x:f>IF(B18=0,0,C18/B18)</x:f>
        <x:v>0</x:v>
      </x:c>
    </x:row>
    <x:row r="19">
      <x:c r="A19" s="32" t="str">
        <x:v>5. Simulation Prep</x:v>
      </x:c>
      <x:c r="B19" s="32" t="n">
        <x:f>COUNTIF('Daily Schedule'!$D$5:$D$183,$A19)</x:f>
        <x:v>3</x:v>
      </x:c>
      <x:c r="C19" s="32" t="n">
        <x:f>COUNTIFS('Daily Schedule'!$D$5:$D$183,$A19,'Daily Schedule'!$M$5:$M$183,"☑")</x:f>
        <x:v>0</x:v>
      </x:c>
      <x:c r="D19" s="40" t="n">
        <x:f>IF(B19=0,0,C19/B19)</x:f>
        <x:v>0</x:v>
      </x:c>
    </x:row>
    <x:row r="20">
      <x:c r="A20" s="32" t="str">
        <x:v>6. FEA Iteration</x:v>
      </x:c>
      <x:c r="B20" s="32" t="n">
        <x:f>COUNTIF('Daily Schedule'!$D$5:$D$183,$A20)</x:f>
        <x:v>6</x:v>
      </x:c>
      <x:c r="C20" s="32" t="n">
        <x:f>COUNTIFS('Daily Schedule'!$D$5:$D$183,$A20,'Daily Schedule'!$M$5:$M$183,"☑")</x:f>
        <x:v>0</x:v>
      </x:c>
      <x:c r="D20" s="40" t="n">
        <x:f>IF(B20=0,0,C20/B20)</x:f>
        <x:v>0</x:v>
      </x:c>
    </x:row>
    <x:row r="21">
      <x:c r="A21" s="32" t="str">
        <x:v>7. CFD Iteration</x:v>
      </x:c>
      <x:c r="B21" s="32" t="n">
        <x:f>COUNTIF('Daily Schedule'!$D$5:$D$183,$A21)</x:f>
        <x:v>6</x:v>
      </x:c>
      <x:c r="C21" s="32" t="n">
        <x:f>COUNTIFS('Daily Schedule'!$D$5:$D$183,$A21,'Daily Schedule'!$M$5:$M$183,"☑")</x:f>
        <x:v>0</x:v>
      </x:c>
      <x:c r="D21" s="40" t="n">
        <x:f>IF(B21=0,0,C21/B21)</x:f>
        <x:v>0</x:v>
      </x:c>
    </x:row>
    <x:row r="22">
      <x:c r="A22" s="32" t="str">
        <x:v>8. Effects &amp; Reliability</x:v>
      </x:c>
      <x:c r="B22" s="32" t="n">
        <x:f>COUNTIF('Daily Schedule'!$D$5:$D$183,$A22)</x:f>
        <x:v>3</x:v>
      </x:c>
      <x:c r="C22" s="32" t="n">
        <x:f>COUNTIFS('Daily Schedule'!$D$5:$D$183,$A22,'Daily Schedule'!$M$5:$M$183,"☑")</x:f>
        <x:v>0</x:v>
      </x:c>
      <x:c r="D22" s="40" t="n">
        <x:f>IF(B22=0,0,C22/B22)</x:f>
        <x:v>0</x:v>
      </x:c>
    </x:row>
    <x:row r="23">
      <x:c r="A23" s="32" t="str">
        <x:v>9. Integrated Review</x:v>
      </x:c>
      <x:c r="B23" s="32" t="n">
        <x:f>COUNTIF('Daily Schedule'!$D$5:$D$183,$A23)</x:f>
        <x:v>3</x:v>
      </x:c>
      <x:c r="C23" s="32" t="n">
        <x:f>COUNTIFS('Daily Schedule'!$D$5:$D$183,$A23,'Daily Schedule'!$M$5:$M$183,"☑")</x:f>
        <x:v>0</x:v>
      </x:c>
      <x:c r="D23" s="40" t="n">
        <x:f>IF(B23=0,0,C23/B23)</x:f>
        <x:v>0</x:v>
      </x:c>
    </x:row>
    <x:row r="24">
      <x:c r="A24" s="32" t="str">
        <x:v>10. Build Drawings</x:v>
      </x:c>
      <x:c r="B24" s="32" t="n">
        <x:f>COUNTIF('Daily Schedule'!$D$5:$D$183,$A24)</x:f>
        <x:v>3</x:v>
      </x:c>
      <x:c r="C24" s="32" t="n">
        <x:f>COUNTIFS('Daily Schedule'!$D$5:$D$183,$A24,'Daily Schedule'!$M$5:$M$183,"☑")</x:f>
        <x:v>0</x:v>
      </x:c>
      <x:c r="D24" s="40" t="n">
        <x:f>IF(B24=0,0,C24/B24)</x:f>
        <x:v>0</x:v>
      </x:c>
    </x:row>
    <x:row r="25">
      <x:c r="A25" s="32" t="str">
        <x:v>11. Procurement</x:v>
      </x:c>
      <x:c r="B25" s="32" t="n">
        <x:f>COUNTIF('Daily Schedule'!$D$5:$D$183,$A25)</x:f>
        <x:v>3</x:v>
      </x:c>
      <x:c r="C25" s="32" t="n">
        <x:f>COUNTIFS('Daily Schedule'!$D$5:$D$183,$A25,'Daily Schedule'!$M$5:$M$183,"☑")</x:f>
        <x:v>0</x:v>
      </x:c>
      <x:c r="D25" s="40" t="n">
        <x:f>IF(B25=0,0,C25/B25)</x:f>
        <x:v>0</x:v>
      </x:c>
    </x:row>
    <x:row r="26">
      <x:c r="A26" s="32" t="str">
        <x:v>12. Validation Pack</x:v>
      </x:c>
      <x:c r="B26" s="32" t="n">
        <x:f>COUNTIF('Daily Schedule'!$D$5:$D$183,$A26)</x:f>
        <x:v>3</x:v>
      </x:c>
      <x:c r="C26" s="32" t="n">
        <x:f>COUNTIFS('Daily Schedule'!$D$5:$D$183,$A26,'Daily Schedule'!$M$5:$M$183,"☑")</x:f>
        <x:v>0</x:v>
      </x:c>
      <x:c r="D26" s="40" t="n">
        <x:f>IF(B26=0,0,C26/B26)</x:f>
        <x:v>0</x:v>
      </x:c>
    </x:row>
    <x:row r="27">
      <x:c r="A27" s="32" t="str">
        <x:v>13. Design Freeze</x:v>
      </x:c>
      <x:c r="B27" s="32" t="n">
        <x:f>COUNTIF('Daily Schedule'!$D$5:$D$183,$A27)</x:f>
        <x:v>3</x:v>
      </x:c>
      <x:c r="C27" s="32" t="n">
        <x:f>COUNTIFS('Daily Schedule'!$D$5:$D$183,$A27,'Daily Schedule'!$M$5:$M$183,"☑")</x:f>
        <x:v>0</x:v>
      </x:c>
      <x:c r="D27" s="40" t="n">
        <x:f>IF(B27=0,0,C27/B27)</x:f>
        <x:v>0</x:v>
      </x:c>
    </x:row>
    <x:row r="28">
      <x:c r="A28" s="32" t="str">
        <x:v>14. Build Prep</x:v>
      </x:c>
      <x:c r="B28" s="32" t="n">
        <x:f>COUNTIF('Daily Schedule'!$D$5:$D$183,$A28)</x:f>
        <x:v>9</x:v>
      </x:c>
      <x:c r="C28" s="32" t="n">
        <x:f>COUNTIFS('Daily Schedule'!$D$5:$D$183,$A28,'Daily Schedule'!$M$5:$M$183,"☑")</x:f>
        <x:v>0</x:v>
      </x:c>
      <x:c r="D28" s="40" t="n">
        <x:f>IF(B28=0,0,C28/B28)</x:f>
        <x:v>0</x:v>
      </x:c>
    </x:row>
    <x:row r="29">
      <x:c r="A29" s="32" t="str">
        <x:v>15. Rolling Chassis</x:v>
      </x:c>
      <x:c r="B29" s="32" t="n">
        <x:f>COUNTIF('Daily Schedule'!$D$5:$D$183,$A29)</x:f>
        <x:v>25</x:v>
      </x:c>
      <x:c r="C29" s="32" t="n">
        <x:f>COUNTIFS('Daily Schedule'!$D$5:$D$183,$A29,'Daily Schedule'!$M$5:$M$183,"☑")</x:f>
        <x:v>0</x:v>
      </x:c>
      <x:c r="D29" s="40" t="n">
        <x:f>IF(B29=0,0,C29/B29)</x:f>
        <x:v>0</x:v>
      </x:c>
    </x:row>
    <x:row r="30">
      <x:c r="A30" s="32" t="str">
        <x:v>16. Body &amp; Effects</x:v>
      </x:c>
      <x:c r="B30" s="32" t="n">
        <x:f>COUNTIF('Daily Schedule'!$D$5:$D$183,$A30)</x:f>
        <x:v>15</x:v>
      </x:c>
      <x:c r="C30" s="32" t="n">
        <x:f>COUNTIFS('Daily Schedule'!$D$5:$D$183,$A30,'Daily Schedule'!$M$5:$M$183,"☑")</x:f>
        <x:v>0</x:v>
      </x:c>
      <x:c r="D30" s="40" t="n">
        <x:f>IF(B30=0,0,C30/B30)</x:f>
        <x:v>0</x:v>
      </x:c>
    </x:row>
    <x:row r="31">
      <x:c r="A31" s="32" t="str">
        <x:v>17. Finish &amp; Livery</x:v>
      </x:c>
      <x:c r="B31" s="32" t="n">
        <x:f>COUNTIF('Daily Schedule'!$D$5:$D$183,$A31)</x:f>
        <x:v>10</x:v>
      </x:c>
      <x:c r="C31" s="32" t="n">
        <x:f>COUNTIFS('Daily Schedule'!$D$5:$D$183,$A31,'Daily Schedule'!$M$5:$M$183,"☑")</x:f>
        <x:v>0</x:v>
      </x:c>
      <x:c r="D31" s="40" t="n">
        <x:f>IF(B31=0,0,C31/B31)</x:f>
        <x:v>0</x:v>
      </x:c>
    </x:row>
    <x:row r="32" ht="32" customHeight="1">
      <x:c r="A32" s="83" t="str">
        <x:v>Source note: tracker is based on the uploaded handbook, the official Red Bull application page, and current tool-provider pages. Verify live Red Bull portal items before spending money or applying sponsor logos.</x:v>
      </x:c>
      <x:c r="B32" s="32" t="n">
        <x:f>COUNTIF('Daily Schedule'!$D$5:$D$183,$A32)</x:f>
        <x:v>0</x:v>
      </x:c>
      <x:c r="C32" s="32" t="n">
        <x:f>COUNTIFS('Daily Schedule'!$D$5:$D$183,$A32,'Daily Schedule'!$M$5:$M$183,"☑")</x:f>
        <x:v>0</x:v>
      </x:c>
      <x:c r="D32" s="40" t="n">
        <x:f>IF(B32=0,0,C32/B32)</x:f>
        <x:v>0</x:v>
      </x:c>
    </x:row>
    <x:row r="33">
      <x:c r="A33" s="32" t="str">
        <x:v>19. Race Readiness</x:v>
      </x:c>
      <x:c r="B33" s="32" t="n">
        <x:f>COUNTIF('Daily Schedule'!$D$5:$D$183,$A33)</x:f>
        <x:v>31</x:v>
      </x:c>
      <x:c r="C33" s="32" t="n">
        <x:f>COUNTIFS('Daily Schedule'!$D$5:$D$183,$A33,'Daily Schedule'!$M$5:$M$183,"☑")</x:f>
        <x:v>0</x:v>
      </x:c>
      <x:c r="D33" s="40" t="n">
        <x:f>IF(B33=0,0,C33/B33)</x:f>
        <x:v>0</x:v>
      </x:c>
    </x:row>
  </x:sheetData>
  <x:mergeCells>
    <x:mergeCell ref="A1:K1"/>
    <x:mergeCell ref="A2:K2"/>
    <x:mergeCell ref="F13:K13"/>
    <x:mergeCell ref="A32:K32"/>
    <x:mergeCell ref="B8:H8"/>
    <x:mergeCell ref="B9:H9"/>
    <x:mergeCell ref="B10:H10"/>
  </x:mergeCells>
  <x:pageMargins left="0.7" right="0.7" top="0.75" bottom="0.75" header="0.3" footer="0.3"/>
  <x:drawing xmlns:r="http://schemas.openxmlformats.org/officeDocument/2006/relationships" r:id="R15e16b73d7d8498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18" hidden="0" customWidth="1"/>
    <x:col min="5" max="5" width="26" hidden="0" customWidth="1"/>
    <x:col min="6" max="6" width="18" hidden="0" customWidth="1"/>
    <x:col min="7" max="7" width="46" hidden="0" customWidth="1"/>
    <x:col min="8" max="8" width="28" hidden="0" customWidth="1"/>
    <x:col min="9" max="9" width="10" hidden="0" customWidth="1"/>
    <x:col min="10" max="10" width="12" hidden="0" customWidth="1"/>
    <x:col min="11" max="11" width="12" hidden="0" customWidth="1"/>
    <x:col min="12" max="12" width="14" hidden="0" customWidth="1"/>
    <x:col min="13" max="13" width="8" hidden="0" customWidth="1"/>
    <x:col min="14" max="14" width="22" hidden="0" customWidth="1"/>
    <x:col min="15" max="15" width="10" hidden="0" customWidth="1"/>
    <x:col min="16" max="16" width="30" hidden="0" customWidth="1"/>
    <x:col min="17" max="17" width="30" hidden="0" customWidth="1"/>
    <x:col min="18" max="18" width="30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0" customHeight="1">
      <x:c r="A1" s="86" t="str">
        <x:v>Red Bull Soapbox Daily Schedule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Use the Done? dropdown like a checkbox. Filter by date, phase, priority, decision flag, or status. Keep notes in the row where the work happened.</x:v>
      </x:c>
    </x:row>
    <x:row r="4" ht="34" customHeight="1">
      <x:c r="A4" s="24" t="str">
        <x:v>Task ID</x:v>
      </x:c>
      <x:c r="B4" s="24" t="str">
        <x:v>Date</x:v>
      </x:c>
      <x:c r="C4" s="24" t="str">
        <x:v>Week</x:v>
      </x:c>
      <x:c r="D4" s="24" t="str">
        <x:v>Phase</x:v>
      </x:c>
      <x:c r="E4" s="24" t="str">
        <x:v>Day Focus</x:v>
      </x:c>
      <x:c r="F4" s="24" t="str">
        <x:v>Time Block</x:v>
      </x:c>
      <x:c r="G4" s="24" t="str">
        <x:v>Task Description</x:v>
      </x:c>
      <x:c r="H4" s="24" t="str">
        <x:v>Output / Evidence</x:v>
      </x:c>
      <x:c r="I4" s="24" t="str">
        <x:v>Est. Hours</x:v>
      </x:c>
      <x:c r="J4" s="24" t="str">
        <x:v>Deadline</x:v>
      </x:c>
      <x:c r="K4" s="24" t="str">
        <x:v>Priority</x:v>
      </x:c>
      <x:c r="L4" s="24" t="str">
        <x:v>Status</x:v>
      </x:c>
      <x:c r="M4" s="24" t="str">
        <x:v>Done?</x:v>
      </x:c>
      <x:c r="N4" s="24" t="str">
        <x:v>Dependencies</x:v>
      </x:c>
      <x:c r="O4" s="24" t="str">
        <x:v>Decision?</x:v>
      </x:c>
      <x:c r="P4" s="24" t="str">
        <x:v>Key Decision / Question</x:v>
      </x:c>
      <x:c r="Q4" s="24" t="str">
        <x:v>Notes / Comments</x:v>
      </x:c>
      <x:c r="R4" s="24" t="str">
        <x:v>Source / Template Link</x:v>
      </x:c>
      <x:c r="S4" s="24" t="str">
        <x:v>Owner</x:v>
      </x:c>
      <x:c r="T4" s="24" t="str">
        <x:v>Progress Weight</x:v>
      </x:c>
      <x:c r="U4" s="24" t="str">
        <x:v>Days to Deadline</x:v>
      </x:c>
    </x:row>
    <x:row r="5">
      <x:c r="A5" s="32" t="str">
        <x:v>T001</x:v>
      </x:c>
      <x:c r="B5" s="36" t="n">
        <x:v>46191</x:v>
      </x:c>
      <x:c r="C5" s="32" t="str">
        <x:v>W25</x:v>
      </x:c>
      <x:c r="D5" s="32" t="str">
        <x:v>0. Control Room</x:v>
      </x:c>
      <x:c r="E5" s="32" t="str">
        <x:v>Project control room + rules baseline</x:v>
      </x:c>
      <x:c r="F5" s="32" t="str">
        <x:v>Evening / focused block</x:v>
      </x:c>
      <x:c r="G5" s="32" t="str">
        <x:v>Set up project folder structure: /01_rules, /02_CAD, /03_sim, /04_BOM, /05_media, /06_buildlog.</x:v>
      </x:c>
      <x:c r="H5" s="32" t="str">
        <x:v>Folder tree + version naming convention</x:v>
      </x:c>
      <x:c r="I5" s="38" t="n">
        <x:v>0.7</x:v>
      </x:c>
      <x:c r="J5" s="36" t="n">
        <x:v>46191</x:v>
      </x:c>
      <x:c r="K5" s="32" t="str">
        <x:v>P1 High</x:v>
      </x:c>
      <x:c r="L5" s="32" t="str">
        <x:v>Not Started</x:v>
      </x:c>
      <x:c r="M5" s="32" t="str">
        <x:v>☐</x:v>
      </x:c>
      <x:c r="N5" s="32" t="str">
        <x:v>Handbook + current concept files</x:v>
      </x:c>
      <x:c r="O5" s="32" t="str">
        <x:v>No</x:v>
      </x:c>
      <x:c r="P5" s="32" t="str"/>
      <x:c r="Q5" s="32" t="str"/>
      <x:c r="R5" s="32" t="str">
        <x:v>Local files</x:v>
      </x:c>
      <x:c r="S5" s="32" t="str">
        <x:v>Kenny</x:v>
      </x:c>
      <x:c r="T5" s="40" t="n">
        <x:f>IF($M5="☑",1,IF($L5="In Progress",0.5,0))</x:f>
        <x:v>0</x:v>
      </x:c>
      <x:c r="U5" s="32" t="n">
        <x:f>IF($J5="","",$J5-TODAY())</x:f>
        <x:v>0</x:v>
      </x:c>
    </x:row>
    <x:row r="6">
      <x:c r="A6" s="32" t="str">
        <x:v>T002</x:v>
      </x:c>
      <x:c r="B6" s="36" t="n">
        <x:v>46191</x:v>
      </x:c>
      <x:c r="C6" s="32" t="str">
        <x:v>W25</x:v>
      </x:c>
      <x:c r="D6" s="32" t="str">
        <x:v>0. Control Room</x:v>
      </x:c>
      <x:c r="E6" s="32" t="str">
        <x:v>Project control room + rules baseline</x:v>
      </x:c>
      <x:c r="F6" s="32" t="str">
        <x:v>Evening / focused block</x:v>
      </x:c>
      <x:c r="G6" s="32" t="str">
        <x:v>Verify Red Bull application page date/deadline and capture screenshots of live portal/rules.</x:v>
      </x:c>
      <x:c r="H6" s="32" t="str">
        <x:v>Rules snapshot saved in /01_rules</x:v>
      </x:c>
      <x:c r="I6" s="38" t="n">
        <x:v>0.8</x:v>
      </x:c>
      <x:c r="J6" s="36" t="n">
        <x:v>46191</x:v>
      </x:c>
      <x:c r="K6" s="32" t="str">
        <x:v>P0 Critical</x:v>
      </x:c>
      <x:c r="L6" s="32" t="str">
        <x:v>Not Started</x:v>
      </x:c>
      <x:c r="M6" s="32" t="str">
        <x:v>☐</x:v>
      </x:c>
      <x:c r="N6" s="32" t="str">
        <x:v>Internet access</x:v>
      </x:c>
      <x:c r="O6" s="32" t="str">
        <x:v>Yes</x:v>
      </x:c>
      <x:c r="P6" s="32" t="str">
        <x:v>What is the binding application deadline and event date?</x:v>
      </x:c>
      <x:c r="Q6" s="32" t="str"/>
      <x:c r="R6" s="32" t="str">
        <x:v>https://www.redbull.com/za-en/events/red-bull-box-cart-race-south-africa/red-bull-soapbox-application</x:v>
      </x:c>
      <x:c r="S6" s="32" t="str">
        <x:v>Kenny</x:v>
      </x:c>
      <x:c r="T6" s="40" t="n">
        <x:f>IF($M6="☑",1,IF($L6="In Progress",0.5,0))</x:f>
        <x:v>0</x:v>
      </x:c>
      <x:c r="U6" s="32" t="n">
        <x:f>IF($J6="","",$J6-TODAY())</x:f>
        <x:v>0</x:v>
      </x:c>
    </x:row>
    <x:row r="7">
      <x:c r="A7" s="32" t="str">
        <x:v>T003</x:v>
      </x:c>
      <x:c r="B7" s="36" t="n">
        <x:v>46191</x:v>
      </x:c>
      <x:c r="C7" s="32" t="str">
        <x:v>W25</x:v>
      </x:c>
      <x:c r="D7" s="32" t="str">
        <x:v>0. Control Room</x:v>
      </x:c>
      <x:c r="E7" s="32" t="str">
        <x:v>Project control room + rules baseline</x:v>
      </x:c>
      <x:c r="F7" s="32" t="str">
        <x:v>Evening / focused block</x:v>
      </x:c>
      <x:c r="G7" s="32" t="str">
        <x:v>Write the project success target: validated Design Freeze v1 by 10 July, then build execution.</x:v>
      </x:c>
      <x:c r="H7" s="32" t="str">
        <x:v>One-sentence north star + date gate</x:v>
      </x:c>
      <x:c r="I7" s="38" t="n">
        <x:v>0.5</x:v>
      </x:c>
      <x:c r="J7" s="36" t="n">
        <x:v>46191</x:v>
      </x:c>
      <x:c r="K7" s="32" t="str">
        <x:v>P0 Critical</x:v>
      </x:c>
      <x:c r="L7" s="32" t="str">
        <x:v>Not Started</x:v>
      </x:c>
      <x:c r="M7" s="32" t="str">
        <x:v>☐</x:v>
      </x:c>
      <x:c r="N7" s="32" t="str">
        <x:v>None</x:v>
      </x:c>
      <x:c r="O7" s="32" t="str">
        <x:v>No</x:v>
      </x:c>
      <x:c r="P7" s="32" t="str"/>
      <x:c r="Q7" s="32" t="str"/>
      <x:c r="R7" s="32" t="str">
        <x:v>Handbook Section 8</x:v>
      </x:c>
      <x:c r="S7" s="32" t="str">
        <x:v>Kenny</x:v>
      </x:c>
      <x:c r="T7" s="40" t="n">
        <x:f>IF($M7="☑",1,IF($L7="In Progress",0.5,0))</x:f>
        <x:v>0</x:v>
      </x:c>
      <x:c r="U7" s="32" t="n">
        <x:f>IF($J7="","",$J7-TODAY())</x:f>
        <x:v>0</x:v>
      </x:c>
    </x:row>
    <x:row r="8">
      <x:c r="A8" s="32" t="str">
        <x:v>T004</x:v>
      </x:c>
      <x:c r="B8" s="36" t="n">
        <x:v>46192</x:v>
      </x:c>
      <x:c r="C8" s="32" t="str">
        <x:v>W25</x:v>
      </x:c>
      <x:c r="D8" s="32" t="str">
        <x:v>0. Control Room</x:v>
      </x:c>
      <x:c r="E8" s="32" t="str">
        <x:v>Design brief + acceptance criteria</x:v>
      </x:c>
      <x:c r="F8" s="32" t="str">
        <x:v>Evening / focused block</x:v>
      </x:c>
      <x:c r="G8" s="32" t="str">
        <x:v>Write a one-page design brief: theme, driver story, engineering goals, crowd hook, and first-time-builder limits.</x:v>
      </x:c>
      <x:c r="H8" s="32" t="str">
        <x:v>Design brief v0.1</x:v>
      </x:c>
      <x:c r="I8" s="38" t="n">
        <x:v>1.2</x:v>
      </x:c>
      <x:c r="J8" s="36" t="n">
        <x:v>46192</x:v>
      </x:c>
      <x:c r="K8" s="32" t="str">
        <x:v>P0 Critical</x:v>
      </x:c>
      <x:c r="L8" s="32" t="str">
        <x:v>Not Started</x:v>
      </x:c>
      <x:c r="M8" s="32" t="str">
        <x:v>☐</x:v>
      </x:c>
      <x:c r="N8" s="32" t="str">
        <x:v>North star</x:v>
      </x:c>
      <x:c r="O8" s="32" t="str">
        <x:v>No</x:v>
      </x:c>
      <x:c r="P8" s="32" t="str"/>
      <x:c r="Q8" s="32" t="str"/>
      <x:c r="R8" s="32" t="str">
        <x:v>Template: one-page product brief</x:v>
      </x:c>
      <x:c r="S8" s="32" t="str">
        <x:v>Kenny</x:v>
      </x:c>
      <x:c r="T8" s="40" t="n">
        <x:f>IF($M8="☑",1,IF($L8="In Progress",0.5,0))</x:f>
        <x:v>0</x:v>
      </x:c>
      <x:c r="U8" s="32" t="n">
        <x:f>IF($J8="","",$J8-TODAY())</x:f>
        <x:v>1</x:v>
      </x:c>
    </x:row>
    <x:row r="9">
      <x:c r="A9" s="32" t="str">
        <x:v>T005</x:v>
      </x:c>
      <x:c r="B9" s="36" t="n">
        <x:v>46192</x:v>
      </x:c>
      <x:c r="C9" s="32" t="str">
        <x:v>W25</x:v>
      </x:c>
      <x:c r="D9" s="32" t="str">
        <x:v>0. Control Room</x:v>
      </x:c>
      <x:c r="E9" s="32" t="str">
        <x:v>Design brief + acceptance criteria</x:v>
      </x:c>
      <x:c r="F9" s="32" t="str">
        <x:v>Evening / focused block</x:v>
      </x:c>
      <x:c r="G9" s="32" t="str">
        <x:v>Translate rules into a design envelope: max size, max weight, gravity-only, steering, brakes, no batteries/effects.</x:v>
      </x:c>
      <x:c r="H9" s="32" t="str">
        <x:v>Rules-to-design checklist</x:v>
      </x:c>
      <x:c r="I9" s="38" t="n">
        <x:v>0.8</x:v>
      </x:c>
      <x:c r="J9" s="36" t="n">
        <x:v>46192</x:v>
      </x:c>
      <x:c r="K9" s="32" t="str">
        <x:v>P0 Critical</x:v>
      </x:c>
      <x:c r="L9" s="32" t="str">
        <x:v>Not Started</x:v>
      </x:c>
      <x:c r="M9" s="32" t="str">
        <x:v>☐</x:v>
      </x:c>
      <x:c r="N9" s="32" t="str">
        <x:v>Rules snapshot</x:v>
      </x:c>
      <x:c r="O9" s="32" t="str">
        <x:v>No</x:v>
      </x:c>
      <x:c r="P9" s="32" t="str"/>
      <x:c r="Q9" s="32" t="str"/>
      <x:c r="R9" s="32" t="str">
        <x:v>Handbook Section 2</x:v>
      </x:c>
      <x:c r="S9" s="32" t="str">
        <x:v>Kenny</x:v>
      </x:c>
      <x:c r="T9" s="40" t="n">
        <x:f>IF($M9="☑",1,IF($L9="In Progress",0.5,0))</x:f>
        <x:v>0</x:v>
      </x:c>
      <x:c r="U9" s="32" t="n">
        <x:f>IF($J9="","",$J9-TODAY())</x:f>
        <x:v>1</x:v>
      </x:c>
    </x:row>
    <x:row r="10">
      <x:c r="A10" s="32" t="str">
        <x:v>T006</x:v>
      </x:c>
      <x:c r="B10" s="36" t="n">
        <x:v>46192</x:v>
      </x:c>
      <x:c r="C10" s="32" t="str">
        <x:v>W25</x:v>
      </x:c>
      <x:c r="D10" s="32" t="str">
        <x:v>0. Control Room</x:v>
      </x:c>
      <x:c r="E10" s="32" t="str">
        <x:v>Design brief + acceptance criteria</x:v>
      </x:c>
      <x:c r="F10" s="32" t="str">
        <x:v>Evening / focused block</x:v>
      </x:c>
      <x:c r="G10" s="32" t="str">
        <x:v>Create validation criteria matrix: safety, steering, braking, mass, CoG, aero, buildability, spectacle.</x:v>
      </x:c>
      <x:c r="H10" s="32" t="str">
        <x:v>Validation matrix in tracker</x:v>
      </x:c>
      <x:c r="I10" s="38" t="n">
        <x:v>0.8</x:v>
      </x:c>
      <x:c r="J10" s="36" t="n">
        <x:v>46192</x:v>
      </x:c>
      <x:c r="K10" s="32" t="str">
        <x:v>P1 High</x:v>
      </x:c>
      <x:c r="L10" s="32" t="str">
        <x:v>Not Started</x:v>
      </x:c>
      <x:c r="M10" s="32" t="str">
        <x:v>☐</x:v>
      </x:c>
      <x:c r="N10" s="32" t="str">
        <x:v>Design brief</x:v>
      </x:c>
      <x:c r="O10" s="32" t="str">
        <x:v>Yes</x:v>
      </x:c>
      <x:c r="P10" s="32" t="str">
        <x:v>Which criteria are go/no-go vs nice-to-have?</x:v>
      </x:c>
      <x:c r="Q10" s="32" t="str"/>
      <x:c r="R10" s="32" t="str">
        <x:v>Build Readiness Gate sheet</x:v>
      </x:c>
      <x:c r="S10" s="32" t="str">
        <x:v>Kenny</x:v>
      </x:c>
      <x:c r="T10" s="40" t="n">
        <x:f>IF($M10="☑",1,IF($L10="In Progress",0.5,0))</x:f>
        <x:v>0</x:v>
      </x:c>
      <x:c r="U10" s="32" t="n">
        <x:f>IF($J10="","",$J10-TODAY())</x:f>
        <x:v>1</x:v>
      </x:c>
    </x:row>
    <x:row r="11">
      <x:c r="A11" s="32" t="str">
        <x:v>T007</x:v>
      </x:c>
      <x:c r="B11" s="36" t="n">
        <x:v>46193</x:v>
      </x:c>
      <x:c r="C11" s="32" t="str">
        <x:v>W25</x:v>
      </x:c>
      <x:c r="D11" s="32" t="str">
        <x:v>1. Concept Geometry</x:v>
      </x:c>
      <x:c r="E11" s="32" t="str">
        <x:v>Reference geometry + driver packaging</x:v>
      </x:c>
      <x:c r="F11" s="32" t="str">
        <x:v>Weekend build block</x:v>
      </x:c>
      <x:c r="G11" s="32" t="str">
        <x:v>Collect reference images/dimensions for a domestic gas heater and LP gas cylinder; use real product proportions where possible.</x:v>
      </x:c>
      <x:c r="H11" s="32" t="str">
        <x:v>Reference board + dimension notes</x:v>
      </x:c>
      <x:c r="I11" s="38" t="n">
        <x:v>1.5</x:v>
      </x:c>
      <x:c r="J11" s="36" t="n">
        <x:v>46193</x:v>
      </x:c>
      <x:c r="K11" s="32" t="str">
        <x:v>P1 High</x:v>
      </x:c>
      <x:c r="L11" s="32" t="str">
        <x:v>Not Started</x:v>
      </x:c>
      <x:c r="M11" s="32" t="str">
        <x:v>☐</x:v>
      </x:c>
      <x:c r="N11" s="32" t="str">
        <x:v>Folder setup</x:v>
      </x:c>
      <x:c r="O11" s="32" t="str">
        <x:v>No</x:v>
      </x:c>
      <x:c r="P11" s="32" t="str"/>
      <x:c r="Q11" s="32" t="str"/>
      <x:c r="R11" s="32" t="str">
        <x:v>Manufacturer pages / photos</x:v>
      </x:c>
      <x:c r="S11" s="32" t="str">
        <x:v>Kenny</x:v>
      </x:c>
      <x:c r="T11" s="40" t="n">
        <x:f>IF($M11="☑",1,IF($L11="In Progress",0.5,0))</x:f>
        <x:v>0</x:v>
      </x:c>
      <x:c r="U11" s="32" t="n">
        <x:f>IF($J11="","",$J11-TODAY())</x:f>
        <x:v>2</x:v>
      </x:c>
    </x:row>
    <x:row r="12">
      <x:c r="A12" s="32" t="str">
        <x:v>T008</x:v>
      </x:c>
      <x:c r="B12" s="36" t="n">
        <x:v>46193</x:v>
      </x:c>
      <x:c r="C12" s="32" t="str">
        <x:v>W25</x:v>
      </x:c>
      <x:c r="D12" s="32" t="str">
        <x:v>1. Concept Geometry</x:v>
      </x:c>
      <x:c r="E12" s="32" t="str">
        <x:v>Reference geometry + driver packaging</x:v>
      </x:c>
      <x:c r="F12" s="32" t="str">
        <x:v>Weekend build block</x:v>
      </x:c>
      <x:c r="G12" s="32" t="str">
        <x:v>Create driver/cockpit envelope: seated posture, helmet clearance, knees, steering reach, emergency exit space.</x:v>
      </x:c>
      <x:c r="H12" s="32" t="str">
        <x:v>Driver envelope sketch</x:v>
      </x:c>
      <x:c r="I12" s="38" t="n">
        <x:v>1.2</x:v>
      </x:c>
      <x:c r="J12" s="36" t="n">
        <x:v>46193</x:v>
      </x:c>
      <x:c r="K12" s="32" t="str">
        <x:v>P0 Critical</x:v>
      </x:c>
      <x:c r="L12" s="32" t="str">
        <x:v>Not Started</x:v>
      </x:c>
      <x:c r="M12" s="32" t="str">
        <x:v>☐</x:v>
      </x:c>
      <x:c r="N12" s="32" t="str">
        <x:v>Rules checklist</x:v>
      </x:c>
      <x:c r="O12" s="32" t="str">
        <x:v>No</x:v>
      </x:c>
      <x:c r="P12" s="32" t="str"/>
      <x:c r="Q12" s="32" t="str"/>
      <x:c r="R12" s="32" t="str">
        <x:v>Fusion sketch / cardboard mock-up</x:v>
      </x:c>
      <x:c r="S12" s="32" t="str">
        <x:v>Kenny</x:v>
      </x:c>
      <x:c r="T12" s="40" t="n">
        <x:f>IF($M12="☑",1,IF($L12="In Progress",0.5,0))</x:f>
        <x:v>0</x:v>
      </x:c>
      <x:c r="U12" s="32" t="n">
        <x:f>IF($J12="","",$J12-TODAY())</x:f>
        <x:v>2</x:v>
      </x:c>
    </x:row>
    <x:row r="13">
      <x:c r="A13" s="32" t="str">
        <x:v>T009</x:v>
      </x:c>
      <x:c r="B13" s="36" t="n">
        <x:v>46193</x:v>
      </x:c>
      <x:c r="C13" s="32" t="str">
        <x:v>W25</x:v>
      </x:c>
      <x:c r="D13" s="32" t="str">
        <x:v>1. Concept Geometry</x:v>
      </x:c>
      <x:c r="E13" s="32" t="str">
        <x:v>Reference geometry + driver packaging</x:v>
      </x:c>
      <x:c r="F13" s="32" t="str">
        <x:v>Weekend build block</x:v>
      </x:c>
      <x:c r="G13" s="32" t="str">
        <x:v>Sketch side and top layout: wheelbase, track width, seat position, body rake, ground clearance.</x:v>
      </x:c>
      <x:c r="H13" s="32" t="str">
        <x:v>Annotated layout sketch v0</x:v>
      </x:c>
      <x:c r="I13" s="38" t="n">
        <x:v>1.5</x:v>
      </x:c>
      <x:c r="J13" s="36" t="n">
        <x:v>46193</x:v>
      </x:c>
      <x:c r="K13" s="32" t="str">
        <x:v>P0 Critical</x:v>
      </x:c>
      <x:c r="L13" s="32" t="str">
        <x:v>Not Started</x:v>
      </x:c>
      <x:c r="M13" s="32" t="str">
        <x:v>☐</x:v>
      </x:c>
      <x:c r="N13" s="32" t="str">
        <x:v>Reference dimensions</x:v>
      </x:c>
      <x:c r="O13" s="32" t="str">
        <x:v>Yes</x:v>
      </x:c>
      <x:c r="P13" s="32" t="str">
        <x:v>What are the initial wheelbase/track/clearance targets?</x:v>
      </x:c>
      <x:c r="Q13" s="32" t="str"/>
      <x:c r="R13" s="32" t="str">
        <x:v>Concept SVG + Fusion</x:v>
      </x:c>
      <x:c r="S13" s="32" t="str">
        <x:v>Kenny</x:v>
      </x:c>
      <x:c r="T13" s="40" t="n">
        <x:f>IF($M13="☑",1,IF($L13="In Progress",0.5,0))</x:f>
        <x:v>0</x:v>
      </x:c>
      <x:c r="U13" s="32" t="n">
        <x:f>IF($J13="","",$J13-TODAY())</x:f>
        <x:v>2</x:v>
      </x:c>
    </x:row>
    <x:row r="14">
      <x:c r="A14" s="32" t="str">
        <x:v>T010</x:v>
      </x:c>
      <x:c r="B14" s="36" t="n">
        <x:v>46194</x:v>
      </x:c>
      <x:c r="C14" s="32" t="str">
        <x:v>W25</x:v>
      </x:c>
      <x:c r="D14" s="32" t="str">
        <x:v>1. Concept Geometry</x:v>
      </x:c>
      <x:c r="E14" s="32" t="str">
        <x:v>Architecture options</x:v>
      </x:c>
      <x:c r="F14" s="32" t="str">
        <x:v>Weekend build block</x:v>
      </x:c>
      <x:c r="G14" s="32" t="str">
        <x:v>Compare chassis routes: shutterply platform, bolt-together angle frame, limited outsourced welding.</x:v>
      </x:c>
      <x:c r="H14" s="32" t="str">
        <x:v>Chassis option scorecard</x:v>
      </x:c>
      <x:c r="I14" s="38" t="n">
        <x:v>1</x:v>
      </x:c>
      <x:c r="J14" s="36" t="n">
        <x:v>46194</x:v>
      </x:c>
      <x:c r="K14" s="32" t="str">
        <x:v>P0 Critical</x:v>
      </x:c>
      <x:c r="L14" s="32" t="str">
        <x:v>Not Started</x:v>
      </x:c>
      <x:c r="M14" s="32" t="str">
        <x:v>☐</x:v>
      </x:c>
      <x:c r="N14" s="32" t="str">
        <x:v>Layout sketch</x:v>
      </x:c>
      <x:c r="O14" s="32" t="str">
        <x:v>Yes</x:v>
      </x:c>
      <x:c r="P14" s="32" t="str">
        <x:v>Which chassis route is safest and buildable with available tools?</x:v>
      </x:c>
      <x:c r="Q14" s="32" t="str"/>
      <x:c r="R14" s="32" t="str">
        <x:v>Handbook Section 5.1</x:v>
      </x:c>
      <x:c r="S14" s="32" t="str">
        <x:v>Kenny</x:v>
      </x:c>
      <x:c r="T14" s="40" t="n">
        <x:f>IF($M14="☑",1,IF($L14="In Progress",0.5,0))</x:f>
        <x:v>0</x:v>
      </x:c>
      <x:c r="U14" s="32" t="n">
        <x:f>IF($J14="","",$J14-TODAY())</x:f>
        <x:v>3</x:v>
      </x:c>
    </x:row>
    <x:row r="15">
      <x:c r="A15" s="32" t="str">
        <x:v>T011</x:v>
      </x:c>
      <x:c r="B15" s="36" t="n">
        <x:v>46194</x:v>
      </x:c>
      <x:c r="C15" s="32" t="str">
        <x:v>W25</x:v>
      </x:c>
      <x:c r="D15" s="32" t="str">
        <x:v>1. Concept Geometry</x:v>
      </x:c>
      <x:c r="E15" s="32" t="str">
        <x:v>Architecture options</x:v>
      </x:c>
      <x:c r="F15" s="32" t="str">
        <x:v>Weekend build block</x:v>
      </x:c>
      <x:c r="G15" s="32" t="str">
        <x:v>Compare steering/front-end routes: donor pedal kart, custom pitman steering, simple pivot axle fallback.</x:v>
      </x:c>
      <x:c r="H15" s="32" t="str">
        <x:v>Steering option scorecard</x:v>
      </x:c>
      <x:c r="I15" s="38" t="n">
        <x:v>1</x:v>
      </x:c>
      <x:c r="J15" s="36" t="n">
        <x:v>46194</x:v>
      </x:c>
      <x:c r="K15" s="32" t="str">
        <x:v>P0 Critical</x:v>
      </x:c>
      <x:c r="L15" s="32" t="str">
        <x:v>Not Started</x:v>
      </x:c>
      <x:c r="M15" s="32" t="str">
        <x:v>☐</x:v>
      </x:c>
      <x:c r="N15" s="32" t="str">
        <x:v>Layout sketch</x:v>
      </x:c>
      <x:c r="O15" s="32" t="str">
        <x:v>Yes</x:v>
      </x:c>
      <x:c r="P15" s="32" t="str">
        <x:v>Can a donor go-kart front end be sourced quickly?</x:v>
      </x:c>
      <x:c r="Q15" s="32" t="str"/>
      <x:c r="R15" s="32" t="str">
        <x:v>Marketplace / donor search</x:v>
      </x:c>
      <x:c r="S15" s="32" t="str">
        <x:v>Kenny</x:v>
      </x:c>
      <x:c r="T15" s="40" t="n">
        <x:f>IF($M15="☑",1,IF($L15="In Progress",0.5,0))</x:f>
        <x:v>0</x:v>
      </x:c>
      <x:c r="U15" s="32" t="n">
        <x:f>IF($J15="","",$J15-TODAY())</x:f>
        <x:v>3</x:v>
      </x:c>
    </x:row>
    <x:row r="16">
      <x:c r="A16" s="32" t="str">
        <x:v>T012</x:v>
      </x:c>
      <x:c r="B16" s="36" t="n">
        <x:v>46194</x:v>
      </x:c>
      <x:c r="C16" s="32" t="str">
        <x:v>W25</x:v>
      </x:c>
      <x:c r="D16" s="32" t="str">
        <x:v>1. Concept Geometry</x:v>
      </x:c>
      <x:c r="E16" s="32" t="str">
        <x:v>Architecture options</x:v>
      </x:c>
      <x:c r="F16" s="32" t="str">
        <x:v>Weekend build block</x:v>
      </x:c>
      <x:c r="G16" s="32" t="str">
        <x:v>Record architecture decision with fallback and risk controls.</x:v>
      </x:c>
      <x:c r="H16" s="32" t="str">
        <x:v>Decision log updated</x:v>
      </x:c>
      <x:c r="I16" s="38" t="n">
        <x:v>0.7</x:v>
      </x:c>
      <x:c r="J16" s="36" t="n">
        <x:v>46194</x:v>
      </x:c>
      <x:c r="K16" s="32" t="str">
        <x:v>P1 High</x:v>
      </x:c>
      <x:c r="L16" s="32" t="str">
        <x:v>Not Started</x:v>
      </x:c>
      <x:c r="M16" s="32" t="str">
        <x:v>☐</x:v>
      </x:c>
      <x:c r="N16" s="32" t="str">
        <x:v>Option scorecards</x:v>
      </x:c>
      <x:c r="O16" s="32" t="str">
        <x:v>Yes</x:v>
      </x:c>
      <x:c r="P16" s="32" t="str">
        <x:v>Baseline architecture frozen for CAD v0?</x:v>
      </x:c>
      <x:c r="Q16" s="32" t="str"/>
      <x:c r="R16" s="32" t="str">
        <x:v>Decision Log sheet</x:v>
      </x:c>
      <x:c r="S16" s="32" t="str">
        <x:v>Kenny</x:v>
      </x:c>
      <x:c r="T16" s="40" t="n">
        <x:f>IF($M16="☑",1,IF($L16="In Progress",0.5,0))</x:f>
        <x:v>0</x:v>
      </x:c>
      <x:c r="U16" s="32" t="n">
        <x:f>IF($J16="","",$J16-TODAY())</x:f>
        <x:v>3</x:v>
      </x:c>
    </x:row>
    <x:row r="17">
      <x:c r="A17" s="32" t="str">
        <x:v>T013</x:v>
      </x:c>
      <x:c r="B17" s="36" t="n">
        <x:v>46195</x:v>
      </x:c>
      <x:c r="C17" s="32" t="str">
        <x:v>W26</x:v>
      </x:c>
      <x:c r="D17" s="32" t="str">
        <x:v>2. CAD Setup</x:v>
      </x:c>
      <x:c r="E17" s="32" t="str">
        <x:v>Toolchain setup</x:v>
      </x:c>
      <x:c r="F17" s="32" t="str">
        <x:v>Evening / focused block</x:v>
      </x:c>
      <x:c r="G17" s="32" t="str">
        <x:v>Set up Autodesk Fusion personal/education account and create the project workspace.</x:v>
      </x:c>
      <x:c r="H17" s="32" t="str">
        <x:v>Fusion project created</x:v>
      </x:c>
      <x:c r="I17" s="38" t="n">
        <x:v>0.7</x:v>
      </x:c>
      <x:c r="J17" s="36" t="n">
        <x:v>46195</x:v>
      </x:c>
      <x:c r="K17" s="32" t="str">
        <x:v>P0 Critical</x:v>
      </x:c>
      <x:c r="L17" s="32" t="str">
        <x:v>Not Started</x:v>
      </x:c>
      <x:c r="M17" s="32" t="str">
        <x:v>☐</x:v>
      </x:c>
      <x:c r="N17" s="32" t="str">
        <x:v>None</x:v>
      </x:c>
      <x:c r="O17" s="32" t="str">
        <x:v>No</x:v>
      </x:c>
      <x:c r="P17" s="32" t="str"/>
      <x:c r="Q17" s="32" t="str"/>
      <x:c r="R17" s="32" t="str">
        <x:v>https://www.autodesk.com/products/fusion-360/personal</x:v>
      </x:c>
      <x:c r="S17" s="32" t="str">
        <x:v>Kenny</x:v>
      </x:c>
      <x:c r="T17" s="40" t="n">
        <x:f>IF($M17="☑",1,IF($L17="In Progress",0.5,0))</x:f>
        <x:v>0</x:v>
      </x:c>
      <x:c r="U17" s="32" t="n">
        <x:f>IF($J17="","",$J17-TODAY())</x:f>
        <x:v>4</x:v>
      </x:c>
    </x:row>
    <x:row r="18">
      <x:c r="A18" s="32" t="str">
        <x:v>T014</x:v>
      </x:c>
      <x:c r="B18" s="36" t="n">
        <x:v>46195</x:v>
      </x:c>
      <x:c r="C18" s="32" t="str">
        <x:v>W26</x:v>
      </x:c>
      <x:c r="D18" s="32" t="str">
        <x:v>2. CAD Setup</x:v>
      </x:c>
      <x:c r="E18" s="32" t="str">
        <x:v>Toolchain setup</x:v>
      </x:c>
      <x:c r="F18" s="32" t="str">
        <x:v>Evening / focused block</x:v>
      </x:c>
      <x:c r="G18" s="32" t="str">
        <x:v>Create SimScale account and bookmark tutorials, public projects, and validation examples for external aerodynamics.</x:v>
      </x:c>
      <x:c r="H18" s="32" t="str">
        <x:v>SimScale workspace ready</x:v>
      </x:c>
      <x:c r="I18" s="38" t="n">
        <x:v>0.7</x:v>
      </x:c>
      <x:c r="J18" s="36" t="n">
        <x:v>46195</x:v>
      </x:c>
      <x:c r="K18" s="32" t="str">
        <x:v>P1 High</x:v>
      </x:c>
      <x:c r="L18" s="32" t="str">
        <x:v>Not Started</x:v>
      </x:c>
      <x:c r="M18" s="32" t="str">
        <x:v>☐</x:v>
      </x:c>
      <x:c r="N18" s="32" t="str">
        <x:v>None</x:v>
      </x:c>
      <x:c r="O18" s="32" t="str">
        <x:v>No</x:v>
      </x:c>
      <x:c r="P18" s="32" t="str"/>
      <x:c r="Q18" s="32" t="str"/>
      <x:c r="R18" s="32" t="str">
        <x:v>https://www.simscale.com/product/cfd/</x:v>
      </x:c>
      <x:c r="S18" s="32" t="str">
        <x:v>Kenny</x:v>
      </x:c>
      <x:c r="T18" s="40" t="n">
        <x:f>IF($M18="☑",1,IF($L18="In Progress",0.5,0))</x:f>
        <x:v>0</x:v>
      </x:c>
      <x:c r="U18" s="32" t="n">
        <x:f>IF($J18="","",$J18-TODAY())</x:f>
        <x:v>4</x:v>
      </x:c>
    </x:row>
    <x:row r="19">
      <x:c r="A19" s="32" t="str">
        <x:v>T015</x:v>
      </x:c>
      <x:c r="B19" s="36" t="n">
        <x:v>46195</x:v>
      </x:c>
      <x:c r="C19" s="32" t="str">
        <x:v>W26</x:v>
      </x:c>
      <x:c r="D19" s="32" t="str">
        <x:v>2. CAD Setup</x:v>
      </x:c>
      <x:c r="E19" s="32" t="str">
        <x:v>Toolchain setup</x:v>
      </x:c>
      <x:c r="F19" s="32" t="str">
        <x:v>Evening / focused block</x:v>
      </x:c>
      <x:c r="G19" s="32" t="str">
        <x:v>Update tracker habit: every work session ends by updating status, notes, blockers, and next action.</x:v>
      </x:c>
      <x:c r="H19" s="32" t="str">
        <x:v>Tracker use rule established</x:v>
      </x:c>
      <x:c r="I19" s="38" t="n">
        <x:v>0.3</x:v>
      </x:c>
      <x:c r="J19" s="36" t="n">
        <x:v>46195</x:v>
      </x:c>
      <x:c r="K19" s="32" t="str">
        <x:v>P2 Medium</x:v>
      </x:c>
      <x:c r="L19" s="32" t="str">
        <x:v>Not Started</x:v>
      </x:c>
      <x:c r="M19" s="32" t="str">
        <x:v>☐</x:v>
      </x:c>
      <x:c r="N19" s="32" t="str">
        <x:v>Tracker</x:v>
      </x:c>
      <x:c r="O19" s="32" t="str">
        <x:v>No</x:v>
      </x:c>
      <x:c r="P19" s="32" t="str"/>
      <x:c r="Q19" s="32" t="str"/>
      <x:c r="R19" s="32" t="str">
        <x:v>Dashboard / Daily Schedule</x:v>
      </x:c>
      <x:c r="S19" s="32" t="str">
        <x:v>Kenny</x:v>
      </x:c>
      <x:c r="T19" s="40" t="n">
        <x:f>IF($M19="☑",1,IF($L19="In Progress",0.5,0))</x:f>
        <x:v>0</x:v>
      </x:c>
      <x:c r="U19" s="32" t="n">
        <x:f>IF($J19="","",$J19-TODAY())</x:f>
        <x:v>4</x:v>
      </x:c>
    </x:row>
    <x:row r="20">
      <x:c r="A20" s="32" t="str">
        <x:v>T016</x:v>
      </x:c>
      <x:c r="B20" s="36" t="n">
        <x:v>46196</x:v>
      </x:c>
      <x:c r="C20" s="32" t="str">
        <x:v>W26</x:v>
      </x:c>
      <x:c r="D20" s="32" t="str">
        <x:v>2. CAD Setup</x:v>
      </x:c>
      <x:c r="E20" s="32" t="str">
        <x:v>CAD skeleton v0</x:v>
      </x:c>
      <x:c r="F20" s="32" t="str">
        <x:v>Evening / focused block</x:v>
      </x:c>
      <x:c r="G20" s="32" t="str">
        <x:v>Create Fusion parameters: wheelbase, track width, ground clearance, body rake, body height, body width.</x:v>
      </x:c>
      <x:c r="H20" s="32" t="str">
        <x:v>Parameter table in Fusion</x:v>
      </x:c>
      <x:c r="I20" s="38" t="n">
        <x:v>1</x:v>
      </x:c>
      <x:c r="J20" s="36" t="n">
        <x:v>46196</x:v>
      </x:c>
      <x:c r="K20" s="32" t="str">
        <x:v>P0 Critical</x:v>
      </x:c>
      <x:c r="L20" s="32" t="str">
        <x:v>Not Started</x:v>
      </x:c>
      <x:c r="M20" s="32" t="str">
        <x:v>☐</x:v>
      </x:c>
      <x:c r="N20" s="32" t="str">
        <x:v>Architecture decision</x:v>
      </x:c>
      <x:c r="O20" s="32" t="str">
        <x:v>No</x:v>
      </x:c>
      <x:c r="P20" s="32" t="str"/>
      <x:c r="Q20" s="32" t="str"/>
      <x:c r="R20" s="32" t="str">
        <x:v>Fusion parameter table</x:v>
      </x:c>
      <x:c r="S20" s="32" t="str">
        <x:v>Kenny</x:v>
      </x:c>
      <x:c r="T20" s="40" t="n">
        <x:f>IF($M20="☑",1,IF($L20="In Progress",0.5,0))</x:f>
        <x:v>0</x:v>
      </x:c>
      <x:c r="U20" s="32" t="n">
        <x:f>IF($J20="","",$J20-TODAY())</x:f>
        <x:v>5</x:v>
      </x:c>
    </x:row>
    <x:row r="21">
      <x:c r="A21" s="32" t="str">
        <x:v>T017</x:v>
      </x:c>
      <x:c r="B21" s="36" t="n">
        <x:v>46196</x:v>
      </x:c>
      <x:c r="C21" s="32" t="str">
        <x:v>W26</x:v>
      </x:c>
      <x:c r="D21" s="32" t="str">
        <x:v>2. CAD Setup</x:v>
      </x:c>
      <x:c r="E21" s="32" t="str">
        <x:v>CAD skeleton v0</x:v>
      </x:c>
      <x:c r="F21" s="32" t="str">
        <x:v>Evening / focused block</x:v>
      </x:c>
      <x:c r="G21" s="32" t="str">
        <x:v>Model simple proxy geometry: wheels, axles, driver cylinder, heater body box, seat, roll/side protection zones.</x:v>
      </x:c>
      <x:c r="H21" s="32" t="str">
        <x:v>CAD skeleton v0</x:v>
      </x:c>
      <x:c r="I21" s="38" t="n">
        <x:v>1.5</x:v>
      </x:c>
      <x:c r="J21" s="36" t="n">
        <x:v>46196</x:v>
      </x:c>
      <x:c r="K21" s="32" t="str">
        <x:v>P0 Critical</x:v>
      </x:c>
      <x:c r="L21" s="32" t="str">
        <x:v>Not Started</x:v>
      </x:c>
      <x:c r="M21" s="32" t="str">
        <x:v>☐</x:v>
      </x:c>
      <x:c r="N21" s="32" t="str">
        <x:v>Layout sketch</x:v>
      </x:c>
      <x:c r="O21" s="32" t="str">
        <x:v>No</x:v>
      </x:c>
      <x:c r="P21" s="32" t="str"/>
      <x:c r="Q21" s="32" t="str"/>
      <x:c r="R21" s="32" t="str">
        <x:v>Fusion</x:v>
      </x:c>
      <x:c r="S21" s="32" t="str">
        <x:v>Kenny</x:v>
      </x:c>
      <x:c r="T21" s="40" t="n">
        <x:f>IF($M21="☑",1,IF($L21="In Progress",0.5,0))</x:f>
        <x:v>0</x:v>
      </x:c>
      <x:c r="U21" s="32" t="n">
        <x:f>IF($J21="","",$J21-TODAY())</x:f>
        <x:v>5</x:v>
      </x:c>
    </x:row>
    <x:row r="22">
      <x:c r="A22" s="32" t="str">
        <x:v>T018</x:v>
      </x:c>
      <x:c r="B22" s="36" t="n">
        <x:v>46196</x:v>
      </x:c>
      <x:c r="C22" s="32" t="str">
        <x:v>W26</x:v>
      </x:c>
      <x:c r="D22" s="32" t="str">
        <x:v>2. CAD Setup</x:v>
      </x:c>
      <x:c r="E22" s="32" t="str">
        <x:v>CAD skeleton v0</x:v>
      </x:c>
      <x:c r="F22" s="32" t="str">
        <x:v>Evening / focused block</x:v>
      </x:c>
      <x:c r="G22" s="32" t="str">
        <x:v>Export 3 screenshots: side, top, isometric for feedback/recruitment.</x:v>
      </x:c>
      <x:c r="H22" s="32" t="str">
        <x:v>Screenshots in /05_media</x:v>
      </x:c>
      <x:c r="I22" s="38" t="n">
        <x:v>0.5</x:v>
      </x:c>
      <x:c r="J22" s="36" t="n">
        <x:v>46196</x:v>
      </x:c>
      <x:c r="K22" s="32" t="str">
        <x:v>P2 Medium</x:v>
      </x:c>
      <x:c r="L22" s="32" t="str">
        <x:v>Not Started</x:v>
      </x:c>
      <x:c r="M22" s="32" t="str">
        <x:v>☐</x:v>
      </x:c>
      <x:c r="N22" s="32" t="str">
        <x:v>CAD skeleton</x:v>
      </x:c>
      <x:c r="O22" s="32" t="str">
        <x:v>No</x:v>
      </x:c>
      <x:c r="P22" s="32" t="str"/>
      <x:c r="Q22" s="32" t="str"/>
      <x:c r="R22" s="32" t="str">
        <x:v>Fusion export</x:v>
      </x:c>
      <x:c r="S22" s="32" t="str">
        <x:v>Kenny</x:v>
      </x:c>
      <x:c r="T22" s="40" t="n">
        <x:f>IF($M22="☑",1,IF($L22="In Progress",0.5,0))</x:f>
        <x:v>0</x:v>
      </x:c>
      <x:c r="U22" s="32" t="n">
        <x:f>IF($J22="","",$J22-TODAY())</x:f>
        <x:v>5</x:v>
      </x:c>
    </x:row>
    <x:row r="23">
      <x:c r="A23" s="32" t="str">
        <x:v>T019</x:v>
      </x:c>
      <x:c r="B23" s="36" t="n">
        <x:v>46197</x:v>
      </x:c>
      <x:c r="C23" s="32" t="str">
        <x:v>W26</x:v>
      </x:c>
      <x:c r="D23" s="32" t="str">
        <x:v>2. CAD Setup</x:v>
      </x:c>
      <x:c r="E23" s="32" t="str">
        <x:v>Chassis v0 model</x:v>
      </x:c>
      <x:c r="F23" s="32" t="str">
        <x:v>Evening / focused block</x:v>
      </x:c>
      <x:c r="G23" s="32" t="str">
        <x:v>Model ladder/floor chassis with cross members, triangulation placeholders, axle mount points, and seat mounts.</x:v>
      </x:c>
      <x:c r="H23" s="32" t="str">
        <x:v>Chassis CAD v0</x:v>
      </x:c>
      <x:c r="I23" s="38" t="n">
        <x:v>1.5</x:v>
      </x:c>
      <x:c r="J23" s="36" t="n">
        <x:v>46197</x:v>
      </x:c>
      <x:c r="K23" s="32" t="str">
        <x:v>P0 Critical</x:v>
      </x:c>
      <x:c r="L23" s="32" t="str">
        <x:v>Not Started</x:v>
      </x:c>
      <x:c r="M23" s="32" t="str">
        <x:v>☐</x:v>
      </x:c>
      <x:c r="N23" s="32" t="str">
        <x:v>CAD skeleton</x:v>
      </x:c>
      <x:c r="O23" s="32" t="str">
        <x:v>No</x:v>
      </x:c>
      <x:c r="P23" s="32" t="str"/>
      <x:c r="Q23" s="32" t="str"/>
      <x:c r="R23" s="32" t="str">
        <x:v>Fusion</x:v>
      </x:c>
      <x:c r="S23" s="32" t="str">
        <x:v>Kenny</x:v>
      </x:c>
      <x:c r="T23" s="40" t="n">
        <x:f>IF($M23="☑",1,IF($L23="In Progress",0.5,0))</x:f>
        <x:v>0</x:v>
      </x:c>
      <x:c r="U23" s="32" t="n">
        <x:f>IF($J23="","",$J23-TODAY())</x:f>
        <x:v>6</x:v>
      </x:c>
    </x:row>
    <x:row r="24">
      <x:c r="A24" s="32" t="str">
        <x:v>T020</x:v>
      </x:c>
      <x:c r="B24" s="36" t="n">
        <x:v>46197</x:v>
      </x:c>
      <x:c r="C24" s="32" t="str">
        <x:v>W26</x:v>
      </x:c>
      <x:c r="D24" s="32" t="str">
        <x:v>2. CAD Setup</x:v>
      </x:c>
      <x:c r="E24" s="32" t="str">
        <x:v>Chassis v0 model</x:v>
      </x:c>
      <x:c r="F24" s="32" t="str">
        <x:v>Evening / focused block</x:v>
      </x:c>
      <x:c r="G24" s="32" t="str">
        <x:v>Add steering column support, brake lever/cable zones, and wheel clearance keep-out regions.</x:v>
      </x:c>
      <x:c r="H24" s="32" t="str">
        <x:v>Package zones added</x:v>
      </x:c>
      <x:c r="I24" s="38" t="n">
        <x:v>1</x:v>
      </x:c>
      <x:c r="J24" s="36" t="n">
        <x:v>46197</x:v>
      </x:c>
      <x:c r="K24" s="32" t="str">
        <x:v>P0 Critical</x:v>
      </x:c>
      <x:c r="L24" s="32" t="str">
        <x:v>Not Started</x:v>
      </x:c>
      <x:c r="M24" s="32" t="str">
        <x:v>☐</x:v>
      </x:c>
      <x:c r="N24" s="32" t="str">
        <x:v>Chassis CAD v0</x:v>
      </x:c>
      <x:c r="O24" s="32" t="str">
        <x:v>No</x:v>
      </x:c>
      <x:c r="P24" s="32" t="str"/>
      <x:c r="Q24" s="32" t="str"/>
      <x:c r="R24" s="32" t="str">
        <x:v>Fusion</x:v>
      </x:c>
      <x:c r="S24" s="32" t="str">
        <x:v>Kenny</x:v>
      </x:c>
      <x:c r="T24" s="40" t="n">
        <x:f>IF($M24="☑",1,IF($L24="In Progress",0.5,0))</x:f>
        <x:v>0</x:v>
      </x:c>
      <x:c r="U24" s="32" t="n">
        <x:f>IF($J24="","",$J24-TODAY())</x:f>
        <x:v>6</x:v>
      </x:c>
    </x:row>
    <x:row r="25">
      <x:c r="A25" s="32" t="str">
        <x:v>T021</x:v>
      </x:c>
      <x:c r="B25" s="36" t="n">
        <x:v>46197</x:v>
      </x:c>
      <x:c r="C25" s="32" t="str">
        <x:v>W26</x:v>
      </x:c>
      <x:c r="D25" s="32" t="str">
        <x:v>2. CAD Setup</x:v>
      </x:c>
      <x:c r="E25" s="32" t="str">
        <x:v>Chassis v0 model</x:v>
      </x:c>
      <x:c r="F25" s="32" t="str">
        <x:v>Evening / focused block</x:v>
      </x:c>
      <x:c r="G25" s="32" t="str">
        <x:v>Check dimensions against rule envelope and add a visible ground-clearance reference plane.</x:v>
      </x:c>
      <x:c r="H25" s="32" t="str">
        <x:v>Rules envelope overlay</x:v>
      </x:c>
      <x:c r="I25" s="38" t="n">
        <x:v>0.5</x:v>
      </x:c>
      <x:c r="J25" s="36" t="n">
        <x:v>46197</x:v>
      </x:c>
      <x:c r="K25" s="32" t="str">
        <x:v>P0 Critical</x:v>
      </x:c>
      <x:c r="L25" s="32" t="str">
        <x:v>Not Started</x:v>
      </x:c>
      <x:c r="M25" s="32" t="str">
        <x:v>☐</x:v>
      </x:c>
      <x:c r="N25" s="32" t="str">
        <x:v>Rules checklist</x:v>
      </x:c>
      <x:c r="O25" s="32" t="str">
        <x:v>No</x:v>
      </x:c>
      <x:c r="P25" s="32" t="str"/>
      <x:c r="Q25" s="32" t="str"/>
      <x:c r="R25" s="32" t="str">
        <x:v>Handbook Section 2</x:v>
      </x:c>
      <x:c r="S25" s="32" t="str">
        <x:v>Kenny</x:v>
      </x:c>
      <x:c r="T25" s="40" t="n">
        <x:f>IF($M25="☑",1,IF($L25="In Progress",0.5,0))</x:f>
        <x:v>0</x:v>
      </x:c>
      <x:c r="U25" s="32" t="n">
        <x:f>IF($J25="","",$J25-TODAY())</x:f>
        <x:v>6</x:v>
      </x:c>
    </x:row>
    <x:row r="26">
      <x:c r="A26" s="32" t="str">
        <x:v>T022</x:v>
      </x:c>
      <x:c r="B26" s="36" t="n">
        <x:v>46198</x:v>
      </x:c>
      <x:c r="C26" s="32" t="str">
        <x:v>W26</x:v>
      </x:c>
      <x:c r="D26" s="32" t="str">
        <x:v>2. CAD Setup</x:v>
      </x:c>
      <x:c r="E26" s="32" t="str">
        <x:v>Buildability review 1</x:v>
      </x:c>
      <x:c r="F26" s="32" t="str">
        <x:v>Evening / focused block</x:v>
      </x:c>
      <x:c r="G26" s="32" t="str">
        <x:v>Convert chassis v0 into standard material assumptions: ply sheets, angle iron, bolts, gussets.</x:v>
      </x:c>
      <x:c r="H26" s="32" t="str">
        <x:v>Material assumption list</x:v>
      </x:c>
      <x:c r="I26" s="38" t="n">
        <x:v>0.8</x:v>
      </x:c>
      <x:c r="J26" s="36" t="n">
        <x:v>46198</x:v>
      </x:c>
      <x:c r="K26" s="32" t="str">
        <x:v>P1 High</x:v>
      </x:c>
      <x:c r="L26" s="32" t="str">
        <x:v>Not Started</x:v>
      </x:c>
      <x:c r="M26" s="32" t="str">
        <x:v>☐</x:v>
      </x:c>
      <x:c r="N26" s="32" t="str">
        <x:v>Chassis CAD</x:v>
      </x:c>
      <x:c r="O26" s="32" t="str">
        <x:v>No</x:v>
      </x:c>
      <x:c r="P26" s="32" t="str"/>
      <x:c r="Q26" s="32" t="str"/>
      <x:c r="R26" s="32" t="str">
        <x:v>BOM sheet</x:v>
      </x:c>
      <x:c r="S26" s="32" t="str">
        <x:v>Kenny</x:v>
      </x:c>
      <x:c r="T26" s="40" t="n">
        <x:f>IF($M26="☑",1,IF($L26="In Progress",0.5,0))</x:f>
        <x:v>0</x:v>
      </x:c>
      <x:c r="U26" s="32" t="n">
        <x:f>IF($J26="","",$J26-TODAY())</x:f>
        <x:v>7</x:v>
      </x:c>
    </x:row>
    <x:row r="27">
      <x:c r="A27" s="32" t="str">
        <x:v>T023</x:v>
      </x:c>
      <x:c r="B27" s="36" t="n">
        <x:v>46198</x:v>
      </x:c>
      <x:c r="C27" s="32" t="str">
        <x:v>W26</x:v>
      </x:c>
      <x:c r="D27" s="32" t="str">
        <x:v>2. CAD Setup</x:v>
      </x:c>
      <x:c r="E27" s="32" t="str">
        <x:v>Buildability review 1</x:v>
      </x:c>
      <x:c r="F27" s="32" t="str">
        <x:v>Evening / focused block</x:v>
      </x:c>
      <x:c r="G27" s="32" t="str">
        <x:v>Mark every part as DIY, buy, salvage, or outsource; flag risky fabrication steps.</x:v>
      </x:c>
      <x:c r="H27" s="32" t="str">
        <x:v>Buildability map</x:v>
      </x:c>
      <x:c r="I27" s="38" t="n">
        <x:v>1</x:v>
      </x:c>
      <x:c r="J27" s="36" t="n">
        <x:v>46198</x:v>
      </x:c>
      <x:c r="K27" s="32" t="str">
        <x:v>P1 High</x:v>
      </x:c>
      <x:c r="L27" s="32" t="str">
        <x:v>Not Started</x:v>
      </x:c>
      <x:c r="M27" s="32" t="str">
        <x:v>☐</x:v>
      </x:c>
      <x:c r="N27" s="32" t="str">
        <x:v>Material assumptions</x:v>
      </x:c>
      <x:c r="O27" s="32" t="str">
        <x:v>No</x:v>
      </x:c>
      <x:c r="P27" s="32" t="str"/>
      <x:c r="Q27" s="32" t="str"/>
      <x:c r="R27" s="32" t="str">
        <x:v>CAD comments / BOM</x:v>
      </x:c>
      <x:c r="S27" s="32" t="str">
        <x:v>Kenny</x:v>
      </x:c>
      <x:c r="T27" s="40" t="n">
        <x:f>IF($M27="☑",1,IF($L27="In Progress",0.5,0))</x:f>
        <x:v>0</x:v>
      </x:c>
      <x:c r="U27" s="32" t="n">
        <x:f>IF($J27="","",$J27-TODAY())</x:f>
        <x:v>7</x:v>
      </x:c>
    </x:row>
    <x:row r="28">
      <x:c r="A28" s="32" t="str">
        <x:v>T024</x:v>
      </x:c>
      <x:c r="B28" s="36" t="n">
        <x:v>46198</x:v>
      </x:c>
      <x:c r="C28" s="32" t="str">
        <x:v>W26</x:v>
      </x:c>
      <x:c r="D28" s="32" t="str">
        <x:v>2. CAD Setup</x:v>
      </x:c>
      <x:c r="E28" s="32" t="str">
        <x:v>Buildability review 1</x:v>
      </x:c>
      <x:c r="F28" s="32" t="str">
        <x:v>Evening / focused block</x:v>
      </x:c>
      <x:c r="G28" s="32" t="str">
        <x:v>Simplify parts that would require precision welding or awkward compound cuts.</x:v>
      </x:c>
      <x:c r="H28" s="32" t="str">
        <x:v>CAD simplification notes</x:v>
      </x:c>
      <x:c r="I28" s="38" t="n">
        <x:v>0.8</x:v>
      </x:c>
      <x:c r="J28" s="36" t="n">
        <x:v>46198</x:v>
      </x:c>
      <x:c r="K28" s="32" t="str">
        <x:v>P1 High</x:v>
      </x:c>
      <x:c r="L28" s="32" t="str">
        <x:v>Not Started</x:v>
      </x:c>
      <x:c r="M28" s="32" t="str">
        <x:v>☐</x:v>
      </x:c>
      <x:c r="N28" s="32" t="str">
        <x:v>Buildability map</x:v>
      </x:c>
      <x:c r="O28" s="32" t="str">
        <x:v>Yes</x:v>
      </x:c>
      <x:c r="P28" s="32" t="str">
        <x:v>Which features should be simplified before FEA?</x:v>
      </x:c>
      <x:c r="Q28" s="32" t="str"/>
      <x:c r="R28" s="32" t="str">
        <x:v>Decision Log sheet</x:v>
      </x:c>
      <x:c r="S28" s="32" t="str">
        <x:v>Kenny</x:v>
      </x:c>
      <x:c r="T28" s="40" t="n">
        <x:f>IF($M28="☑",1,IF($L28="In Progress",0.5,0))</x:f>
        <x:v>0</x:v>
      </x:c>
      <x:c r="U28" s="32" t="n">
        <x:f>IF($J28="","",$J28-TODAY())</x:f>
        <x:v>7</x:v>
      </x:c>
    </x:row>
    <x:row r="29">
      <x:c r="A29" s="32" t="str">
        <x:v>T025</x:v>
      </x:c>
      <x:c r="B29" s="36" t="n">
        <x:v>46199</x:v>
      </x:c>
      <x:c r="C29" s="32" t="str">
        <x:v>W26</x:v>
      </x:c>
      <x:c r="D29" s="32" t="str">
        <x:v>2. CAD Setup</x:v>
      </x:c>
      <x:c r="E29" s="32" t="str">
        <x:v>Steering + brake packaging</x:v>
      </x:c>
      <x:c r="F29" s="32" t="str">
        <x:v>Evening / focused block</x:v>
      </x:c>
      <x:c r="G29" s="32" t="str">
        <x:v>Model donor-style front axle, kingpin/pitman proxy, steering rod, steering column bracket, and foot/hand clearance.</x:v>
      </x:c>
      <x:c r="H29" s="32" t="str">
        <x:v>Steering package v0</x:v>
      </x:c>
      <x:c r="I29" s="38" t="n">
        <x:v>1.3</x:v>
      </x:c>
      <x:c r="J29" s="36" t="n">
        <x:v>46199</x:v>
      </x:c>
      <x:c r="K29" s="32" t="str">
        <x:v>P0 Critical</x:v>
      </x:c>
      <x:c r="L29" s="32" t="str">
        <x:v>Not Started</x:v>
      </x:c>
      <x:c r="M29" s="32" t="str">
        <x:v>☐</x:v>
      </x:c>
      <x:c r="N29" s="32" t="str">
        <x:v>Chassis CAD</x:v>
      </x:c>
      <x:c r="O29" s="32" t="str">
        <x:v>No</x:v>
      </x:c>
      <x:c r="P29" s="32" t="str"/>
      <x:c r="Q29" s="32" t="str"/>
      <x:c r="R29" s="32" t="str">
        <x:v>Fusion</x:v>
      </x:c>
      <x:c r="S29" s="32" t="str">
        <x:v>Kenny</x:v>
      </x:c>
      <x:c r="T29" s="40" t="n">
        <x:f>IF($M29="☑",1,IF($L29="In Progress",0.5,0))</x:f>
        <x:v>0</x:v>
      </x:c>
      <x:c r="U29" s="32" t="n">
        <x:f>IF($J29="","",$J29-TODAY())</x:f>
        <x:v>8</x:v>
      </x:c>
    </x:row>
    <x:row r="30">
      <x:c r="A30" s="32" t="str">
        <x:v>T026</x:v>
      </x:c>
      <x:c r="B30" s="36" t="n">
        <x:v>46199</x:v>
      </x:c>
      <x:c r="C30" s="32" t="str">
        <x:v>W26</x:v>
      </x:c>
      <x:c r="D30" s="32" t="str">
        <x:v>2. CAD Setup</x:v>
      </x:c>
      <x:c r="E30" s="32" t="str">
        <x:v>Steering + brake packaging</x:v>
      </x:c>
      <x:c r="F30" s="32" t="str">
        <x:v>Evening / focused block</x:v>
      </x:c>
      <x:c r="G30" s="32" t="str">
        <x:v>Model brake lever, cable path, rear brake mount, and optional drag-brake zone.</x:v>
      </x:c>
      <x:c r="H30" s="32" t="str">
        <x:v>Brake package v0</x:v>
      </x:c>
      <x:c r="I30" s="38" t="n">
        <x:v>1</x:v>
      </x:c>
      <x:c r="J30" s="36" t="n">
        <x:v>46199</x:v>
      </x:c>
      <x:c r="K30" s="32" t="str">
        <x:v>P0 Critical</x:v>
      </x:c>
      <x:c r="L30" s="32" t="str">
        <x:v>Not Started</x:v>
      </x:c>
      <x:c r="M30" s="32" t="str">
        <x:v>☐</x:v>
      </x:c>
      <x:c r="N30" s="32" t="str">
        <x:v>Chassis CAD</x:v>
      </x:c>
      <x:c r="O30" s="32" t="str">
        <x:v>No</x:v>
      </x:c>
      <x:c r="P30" s="32" t="str"/>
      <x:c r="Q30" s="32" t="str"/>
      <x:c r="R30" s="32" t="str">
        <x:v>Fusion</x:v>
      </x:c>
      <x:c r="S30" s="32" t="str">
        <x:v>Kenny</x:v>
      </x:c>
      <x:c r="T30" s="40" t="n">
        <x:f>IF($M30="☑",1,IF($L30="In Progress",0.5,0))</x:f>
        <x:v>0</x:v>
      </x:c>
      <x:c r="U30" s="32" t="n">
        <x:f>IF($J30="","",$J30-TODAY())</x:f>
        <x:v>8</x:v>
      </x:c>
    </x:row>
    <x:row r="31">
      <x:c r="A31" s="32" t="str">
        <x:v>T027</x:v>
      </x:c>
      <x:c r="B31" s="36" t="n">
        <x:v>46199</x:v>
      </x:c>
      <x:c r="C31" s="32" t="str">
        <x:v>W26</x:v>
      </x:c>
      <x:c r="D31" s="32" t="str">
        <x:v>2. CAD Setup</x:v>
      </x:c>
      <x:c r="E31" s="32" t="str">
        <x:v>Steering + brake packaging</x:v>
      </x:c>
      <x:c r="F31" s="32" t="str">
        <x:v>Evening / focused block</x:v>
      </x:c>
      <x:c r="G31" s="32" t="str">
        <x:v>Choose braking baseline: one rear wheel + drag brake, or two-wheel braking if parts allow.</x:v>
      </x:c>
      <x:c r="H31" s="32" t="str">
        <x:v>Brake architecture decision</x:v>
      </x:c>
      <x:c r="I31" s="38" t="n">
        <x:v>0.5</x:v>
      </x:c>
      <x:c r="J31" s="36" t="n">
        <x:v>46199</x:v>
      </x:c>
      <x:c r="K31" s="32" t="str">
        <x:v>P0 Critical</x:v>
      </x:c>
      <x:c r="L31" s="32" t="str">
        <x:v>Not Started</x:v>
      </x:c>
      <x:c r="M31" s="32" t="str">
        <x:v>☐</x:v>
      </x:c>
      <x:c r="N31" s="32" t="str">
        <x:v>Brake package</x:v>
      </x:c>
      <x:c r="O31" s="32" t="str">
        <x:v>Yes</x:v>
      </x:c>
      <x:c r="P31" s="32" t="str">
        <x:v>What braking setup gives inspection confidence without overcomplexity?</x:v>
      </x:c>
      <x:c r="Q31" s="32" t="str"/>
      <x:c r="R31" s="32" t="str">
        <x:v>Decision Log sheet</x:v>
      </x:c>
      <x:c r="S31" s="32" t="str">
        <x:v>Kenny</x:v>
      </x:c>
      <x:c r="T31" s="40" t="n">
        <x:f>IF($M31="☑",1,IF($L31="In Progress",0.5,0))</x:f>
        <x:v>0</x:v>
      </x:c>
      <x:c r="U31" s="32" t="n">
        <x:f>IF($J31="","",$J31-TODAY())</x:f>
        <x:v>8</x:v>
      </x:c>
    </x:row>
    <x:row r="32">
      <x:c r="A32" s="32" t="str">
        <x:v>T028</x:v>
      </x:c>
      <x:c r="B32" s="36" t="n">
        <x:v>46200</x:v>
      </x:c>
      <x:c r="C32" s="32" t="str">
        <x:v>W26</x:v>
      </x:c>
      <x:c r="D32" s="32" t="str">
        <x:v>3. Mass &amp; Risk</x:v>
      </x:c>
      <x:c r="E32" s="32" t="str">
        <x:v>Mass + centre-of-gravity estimate</x:v>
      </x:c>
      <x:c r="F32" s="32" t="str">
        <x:v>Weekend build block</x:v>
      </x:c>
      <x:c r="G32" s="32" t="str">
        <x:v>Create mass budget for chassis, body, wheels, axles, brakes, seat, steering, driver props, and ballast.</x:v>
      </x:c>
      <x:c r="H32" s="32" t="str">
        <x:v>Mass budget v0</x:v>
      </x:c>
      <x:c r="I32" s="38" t="n">
        <x:v>1.2</x:v>
      </x:c>
      <x:c r="J32" s="36" t="n">
        <x:v>46200</x:v>
      </x:c>
      <x:c r="K32" s="32" t="str">
        <x:v>P0 Critical</x:v>
      </x:c>
      <x:c r="L32" s="32" t="str">
        <x:v>Not Started</x:v>
      </x:c>
      <x:c r="M32" s="32" t="str">
        <x:v>☐</x:v>
      </x:c>
      <x:c r="N32" s="32" t="str">
        <x:v>Material assumptions</x:v>
      </x:c>
      <x:c r="O32" s="32" t="str">
        <x:v>No</x:v>
      </x:c>
      <x:c r="P32" s="32" t="str"/>
      <x:c r="Q32" s="32" t="str"/>
      <x:c r="R32" s="32" t="str">
        <x:v>Mass Budget section</x:v>
      </x:c>
      <x:c r="S32" s="32" t="str">
        <x:v>Kenny</x:v>
      </x:c>
      <x:c r="T32" s="40" t="n">
        <x:f>IF($M32="☑",1,IF($L32="In Progress",0.5,0))</x:f>
        <x:v>0</x:v>
      </x:c>
      <x:c r="U32" s="32" t="n">
        <x:f>IF($J32="","",$J32-TODAY())</x:f>
        <x:v>9</x:v>
      </x:c>
    </x:row>
    <x:row r="33">
      <x:c r="A33" s="32" t="str">
        <x:v>T029</x:v>
      </x:c>
      <x:c r="B33" s="36" t="n">
        <x:v>46200</x:v>
      </x:c>
      <x:c r="C33" s="32" t="str">
        <x:v>W26</x:v>
      </x:c>
      <x:c r="D33" s="32" t="str">
        <x:v>3. Mass &amp; Risk</x:v>
      </x:c>
      <x:c r="E33" s="32" t="str">
        <x:v>Mass + centre-of-gravity estimate</x:v>
      </x:c>
      <x:c r="F33" s="32" t="str">
        <x:v>Weekend build block</x:v>
      </x:c>
      <x:c r="G33" s="32" t="str">
        <x:v>Set target cart mass: structure comfortably below 80 kg, with any ballast removable and low-mounted.</x:v>
      </x:c>
      <x:c r="H33" s="32" t="str">
        <x:v>Mass target written</x:v>
      </x:c>
      <x:c r="I33" s="38" t="n">
        <x:v>0.5</x:v>
      </x:c>
      <x:c r="J33" s="36" t="n">
        <x:v>46200</x:v>
      </x:c>
      <x:c r="K33" s="32" t="str">
        <x:v>P0 Critical</x:v>
      </x:c>
      <x:c r="L33" s="32" t="str">
        <x:v>Not Started</x:v>
      </x:c>
      <x:c r="M33" s="32" t="str">
        <x:v>☐</x:v>
      </x:c>
      <x:c r="N33" s="32" t="str">
        <x:v>Rule envelope</x:v>
      </x:c>
      <x:c r="O33" s="32" t="str">
        <x:v>Yes</x:v>
      </x:c>
      <x:c r="P33" s="32" t="str">
        <x:v>What is the pre-ballast mass target?</x:v>
      </x:c>
      <x:c r="Q33" s="32" t="str"/>
      <x:c r="R33" s="32" t="str">
        <x:v>Handbook Section 5.8</x:v>
      </x:c>
      <x:c r="S33" s="32" t="str">
        <x:v>Kenny</x:v>
      </x:c>
      <x:c r="T33" s="40" t="n">
        <x:f>IF($M33="☑",1,IF($L33="In Progress",0.5,0))</x:f>
        <x:v>0</x:v>
      </x:c>
      <x:c r="U33" s="32" t="n">
        <x:f>IF($J33="","",$J33-TODAY())</x:f>
        <x:v>9</x:v>
      </x:c>
    </x:row>
    <x:row r="34">
      <x:c r="A34" s="32" t="str">
        <x:v>T030</x:v>
      </x:c>
      <x:c r="B34" s="36" t="n">
        <x:v>46200</x:v>
      </x:c>
      <x:c r="C34" s="32" t="str">
        <x:v>W26</x:v>
      </x:c>
      <x:c r="D34" s="32" t="str">
        <x:v>3. Mass &amp; Risk</x:v>
      </x:c>
      <x:c r="E34" s="32" t="str">
        <x:v>Mass + centre-of-gravity estimate</x:v>
      </x:c>
      <x:c r="F34" s="32" t="str">
        <x:v>Weekend build block</x:v>
      </x:c>
      <x:c r="G34" s="32" t="str">
        <x:v>Estimate CoG height/location using rough component masses; flag high/tall components for light materials.</x:v>
      </x:c>
      <x:c r="H34" s="32" t="str">
        <x:v>CoG estimate v0</x:v>
      </x:c>
      <x:c r="I34" s="38" t="n">
        <x:v>1</x:v>
      </x:c>
      <x:c r="J34" s="36" t="n">
        <x:v>46200</x:v>
      </x:c>
      <x:c r="K34" s="32" t="str">
        <x:v>P1 High</x:v>
      </x:c>
      <x:c r="L34" s="32" t="str">
        <x:v>Not Started</x:v>
      </x:c>
      <x:c r="M34" s="32" t="str">
        <x:v>☐</x:v>
      </x:c>
      <x:c r="N34" s="32" t="str">
        <x:v>Mass budget</x:v>
      </x:c>
      <x:c r="O34" s="32" t="str">
        <x:v>No</x:v>
      </x:c>
      <x:c r="P34" s="32" t="str"/>
      <x:c r="Q34" s="32" t="str"/>
      <x:c r="R34" s="32" t="str">
        <x:v>Spreadsheet calculation</x:v>
      </x:c>
      <x:c r="S34" s="32" t="str">
        <x:v>Kenny</x:v>
      </x:c>
      <x:c r="T34" s="40" t="n">
        <x:f>IF($M34="☑",1,IF($L34="In Progress",0.5,0))</x:f>
        <x:v>0</x:v>
      </x:c>
      <x:c r="U34" s="32" t="n">
        <x:f>IF($J34="","",$J34-TODAY())</x:f>
        <x:v>9</x:v>
      </x:c>
    </x:row>
    <x:row r="35">
      <x:c r="A35" s="32" t="str">
        <x:v>T031</x:v>
      </x:c>
      <x:c r="B35" s="36" t="n">
        <x:v>46201</x:v>
      </x:c>
      <x:c r="C35" s="32" t="str">
        <x:v>W26</x:v>
      </x:c>
      <x:c r="D35" s="32" t="str">
        <x:v>4. Application Package</x:v>
      </x:c>
      <x:c r="E35" s="32" t="str">
        <x:v>Application concept package draft</x:v>
      </x:c>
      <x:c r="F35" s="32" t="str">
        <x:v>Weekend build block</x:v>
      </x:c>
      <x:c r="G35" s="32" t="str">
        <x:v>Create a clean concept render/sketch from CAD and the side-cutaway concept.</x:v>
      </x:c>
      <x:c r="H35" s="32" t="str">
        <x:v>Application image v0</x:v>
      </x:c>
      <x:c r="I35" s="38" t="n">
        <x:v>1.5</x:v>
      </x:c>
      <x:c r="J35" s="36" t="n">
        <x:v>46201</x:v>
      </x:c>
      <x:c r="K35" s="32" t="str">
        <x:v>P0 Critical</x:v>
      </x:c>
      <x:c r="L35" s="32" t="str">
        <x:v>Not Started</x:v>
      </x:c>
      <x:c r="M35" s="32" t="str">
        <x:v>☐</x:v>
      </x:c>
      <x:c r="N35" s="32" t="str">
        <x:v>CAD skeleton</x:v>
      </x:c>
      <x:c r="O35" s="32" t="str">
        <x:v>No</x:v>
      </x:c>
      <x:c r="P35" s="32" t="str"/>
      <x:c r="Q35" s="32" t="str"/>
      <x:c r="R35" s="32" t="str">
        <x:v>Fusion / SVG</x:v>
      </x:c>
      <x:c r="S35" s="32" t="str">
        <x:v>Kenny</x:v>
      </x:c>
      <x:c r="T35" s="40" t="n">
        <x:f>IF($M35="☑",1,IF($L35="In Progress",0.5,0))</x:f>
        <x:v>0</x:v>
      </x:c>
      <x:c r="U35" s="32" t="n">
        <x:f>IF($J35="","",$J35-TODAY())</x:f>
        <x:v>10</x:v>
      </x:c>
    </x:row>
    <x:row r="36">
      <x:c r="A36" s="32" t="str">
        <x:v>T032</x:v>
      </x:c>
      <x:c r="B36" s="36" t="n">
        <x:v>46201</x:v>
      </x:c>
      <x:c r="C36" s="32" t="str">
        <x:v>W26</x:v>
      </x:c>
      <x:c r="D36" s="32" t="str">
        <x:v>4. Application Package</x:v>
      </x:c>
      <x:c r="E36" s="32" t="str">
        <x:v>Application concept package draft</x:v>
      </x:c>
      <x:c r="F36" s="32" t="str">
        <x:v>Weekend build block</x:v>
      </x:c>
      <x:c r="G36" s="32" t="str">
        <x:v>Draft 150–250 word concept pitch and 30-second skit outline.</x:v>
      </x:c>
      <x:c r="H36" s="32" t="str">
        <x:v>Pitch + skit draft</x:v>
      </x:c>
      <x:c r="I36" s="38" t="n">
        <x:v>1.2</x:v>
      </x:c>
      <x:c r="J36" s="36" t="n">
        <x:v>46201</x:v>
      </x:c>
      <x:c r="K36" s="32" t="str">
        <x:v>P0 Critical</x:v>
      </x:c>
      <x:c r="L36" s="32" t="str">
        <x:v>Not Started</x:v>
      </x:c>
      <x:c r="M36" s="32" t="str">
        <x:v>☐</x:v>
      </x:c>
      <x:c r="N36" s="32" t="str">
        <x:v>Design brief</x:v>
      </x:c>
      <x:c r="O36" s="32" t="str">
        <x:v>No</x:v>
      </x:c>
      <x:c r="P36" s="32" t="str"/>
      <x:c r="Q36" s="32" t="str"/>
      <x:c r="R36" s="32" t="str">
        <x:v>Application draft</x:v>
      </x:c>
      <x:c r="S36" s="32" t="str">
        <x:v>Kenny</x:v>
      </x:c>
      <x:c r="T36" s="40" t="n">
        <x:f>IF($M36="☑",1,IF($L36="In Progress",0.5,0))</x:f>
        <x:v>0</x:v>
      </x:c>
      <x:c r="U36" s="32" t="n">
        <x:f>IF($J36="","",$J36-TODAY())</x:f>
        <x:v>10</x:v>
      </x:c>
    </x:row>
    <x:row r="37">
      <x:c r="A37" s="32" t="str">
        <x:v>T033</x:v>
      </x:c>
      <x:c r="B37" s="36" t="n">
        <x:v>46201</x:v>
      </x:c>
      <x:c r="C37" s="32" t="str">
        <x:v>W26</x:v>
      </x:c>
      <x:c r="D37" s="32" t="str">
        <x:v>4. Application Package</x:v>
      </x:c>
      <x:c r="E37" s="32" t="str">
        <x:v>Application concept package draft</x:v>
      </x:c>
      <x:c r="F37" s="32" t="str">
        <x:v>Weekend build block</x:v>
      </x:c>
      <x:c r="G37" s="32" t="str">
        <x:v>Run the one-second test: show sketch to 2 people and ask what the vehicle is.</x:v>
      </x:c>
      <x:c r="H37" s="32" t="str">
        <x:v>Recognition feedback logged</x:v>
      </x:c>
      <x:c r="I37" s="38" t="n">
        <x:v>0.5</x:v>
      </x:c>
      <x:c r="J37" s="36" t="n">
        <x:v>46201</x:v>
      </x:c>
      <x:c r="K37" s="32" t="str">
        <x:v>P1 High</x:v>
      </x:c>
      <x:c r="L37" s="32" t="str">
        <x:v>Not Started</x:v>
      </x:c>
      <x:c r="M37" s="32" t="str">
        <x:v>☐</x:v>
      </x:c>
      <x:c r="N37" s="32" t="str">
        <x:v>Application image</x:v>
      </x:c>
      <x:c r="O37" s="32" t="str">
        <x:v>Yes</x:v>
      </x:c>
      <x:c r="P37" s="32" t="str">
        <x:v>Does the concept read instantly as gas heater + cylinder?</x:v>
      </x:c>
      <x:c r="Q37" s="32" t="str"/>
      <x:c r="R37" s="32" t="str">
        <x:v>Feedback notes</x:v>
      </x:c>
      <x:c r="S37" s="32" t="str">
        <x:v>Kenny</x:v>
      </x:c>
      <x:c r="T37" s="40" t="n">
        <x:f>IF($M37="☑",1,IF($L37="In Progress",0.5,0))</x:f>
        <x:v>0</x:v>
      </x:c>
      <x:c r="U37" s="32" t="n">
        <x:f>IF($J37="","",$J37-TODAY())</x:f>
        <x:v>10</x:v>
      </x:c>
    </x:row>
    <x:row r="38">
      <x:c r="A38" s="32" t="str">
        <x:v>T034</x:v>
      </x:c>
      <x:c r="B38" s="36" t="n">
        <x:v>46202</x:v>
      </x:c>
      <x:c r="C38" s="32" t="str">
        <x:v>W27</x:v>
      </x:c>
      <x:c r="D38" s="32" t="str">
        <x:v>4. Application Package</x:v>
      </x:c>
      <x:c r="E38" s="32" t="str">
        <x:v>Application + team outreach</x:v>
      </x:c>
      <x:c r="F38" s="32" t="str">
        <x:v>Evening / focused block</x:v>
      </x:c>
      <x:c r="G38" s="32" t="str">
        <x:v>Submit application if portal/deadline is available; otherwise complete all fields and log portal blocker.</x:v>
      </x:c>
      <x:c r="H38" s="32" t="str">
        <x:v>Application submitted or ready</x:v>
      </x:c>
      <x:c r="I38" s="38" t="n">
        <x:v>1</x:v>
      </x:c>
      <x:c r="J38" s="36" t="n">
        <x:v>46202</x:v>
      </x:c>
      <x:c r="K38" s="32" t="str">
        <x:v>P0 Critical</x:v>
      </x:c>
      <x:c r="L38" s="32" t="str">
        <x:v>Not Started</x:v>
      </x:c>
      <x:c r="M38" s="32" t="str">
        <x:v>☐</x:v>
      </x:c>
      <x:c r="N38" s="32" t="str">
        <x:v>Pitch + sketch</x:v>
      </x:c>
      <x:c r="O38" s="32" t="str">
        <x:v>Yes</x:v>
      </x:c>
      <x:c r="P38" s="32" t="str">
        <x:v>Has the application been submitted before the live deadline?</x:v>
      </x:c>
      <x:c r="Q38" s="32" t="str"/>
      <x:c r="R38" s="32" t="str">
        <x:v>https://www.redbull.com/za-en/events/red-bull-box-cart-race-south-africa/red-bull-soapbox-application</x:v>
      </x:c>
      <x:c r="S38" s="32" t="str">
        <x:v>Kenny</x:v>
      </x:c>
      <x:c r="T38" s="40" t="n">
        <x:f>IF($M38="☑",1,IF($L38="In Progress",0.5,0))</x:f>
        <x:v>0</x:v>
      </x:c>
      <x:c r="U38" s="32" t="n">
        <x:f>IF($J38="","",$J38-TODAY())</x:f>
        <x:v>11</x:v>
      </x:c>
    </x:row>
    <x:row r="39">
      <x:c r="A39" s="32" t="str">
        <x:v>T035</x:v>
      </x:c>
      <x:c r="B39" s="36" t="n">
        <x:v>46202</x:v>
      </x:c>
      <x:c r="C39" s="32" t="str">
        <x:v>W27</x:v>
      </x:c>
      <x:c r="D39" s="32" t="str">
        <x:v>4. Application Package</x:v>
      </x:c>
      <x:c r="E39" s="32" t="str">
        <x:v>Application + team outreach</x:v>
      </x:c>
      <x:c r="F39" s="32" t="str">
        <x:v>Evening / focused block</x:v>
      </x:c>
      <x:c r="G39" s="32" t="str">
        <x:v>Post/send teammate call: driver/fabrication/CAD/performance roles, expected time commitment, concept image.</x:v>
      </x:c>
      <x:c r="H39" s="32" t="str">
        <x:v>Recruitment message sent</x:v>
      </x:c>
      <x:c r="I39" s="38" t="n">
        <x:v>0.8</x:v>
      </x:c>
      <x:c r="J39" s="36" t="n">
        <x:v>46202</x:v>
      </x:c>
      <x:c r="K39" s="32" t="str">
        <x:v>P1 High</x:v>
      </x:c>
      <x:c r="L39" s="32" t="str">
        <x:v>Not Started</x:v>
      </x:c>
      <x:c r="M39" s="32" t="str">
        <x:v>☐</x:v>
      </x:c>
      <x:c r="N39" s="32" t="str">
        <x:v>Application image</x:v>
      </x:c>
      <x:c r="O39" s="32" t="str">
        <x:v>No</x:v>
      </x:c>
      <x:c r="P39" s="32" t="str"/>
      <x:c r="Q39" s="32" t="str"/>
      <x:c r="R39" s="32" t="str">
        <x:v>WhatsApp / LinkedIn / communities</x:v>
      </x:c>
      <x:c r="S39" s="32" t="str">
        <x:v>Kenny</x:v>
      </x:c>
      <x:c r="T39" s="40" t="n">
        <x:f>IF($M39="☑",1,IF($L39="In Progress",0.5,0))</x:f>
        <x:v>0</x:v>
      </x:c>
      <x:c r="U39" s="32" t="n">
        <x:f>IF($J39="","",$J39-TODAY())</x:f>
        <x:v>11</x:v>
      </x:c>
    </x:row>
    <x:row r="40">
      <x:c r="A40" s="32" t="str">
        <x:v>T036</x:v>
      </x:c>
      <x:c r="B40" s="36" t="n">
        <x:v>46202</x:v>
      </x:c>
      <x:c r="C40" s="32" t="str">
        <x:v>W27</x:v>
      </x:c>
      <x:c r="D40" s="32" t="str">
        <x:v>4. Application Package</x:v>
      </x:c>
      <x:c r="E40" s="32" t="str">
        <x:v>Application + team outreach</x:v>
      </x:c>
      <x:c r="F40" s="32" t="str">
        <x:v>Evening / focused block</x:v>
      </x:c>
      <x:c r="G40" s="32" t="str">
        <x:v>Create sponsor lead list: LPG, heaters, hardware/materials, with contact, ask, and status.</x:v>
      </x:c>
      <x:c r="H40" s="32" t="str">
        <x:v>Sponsor tracker v0</x:v>
      </x:c>
      <x:c r="I40" s="38" t="n">
        <x:v>0.8</x:v>
      </x:c>
      <x:c r="J40" s="36" t="n">
        <x:v>46202</x:v>
      </x:c>
      <x:c r="K40" s="32" t="str">
        <x:v>P1 High</x:v>
      </x:c>
      <x:c r="L40" s="32" t="str">
        <x:v>Not Started</x:v>
      </x:c>
      <x:c r="M40" s="32" t="str">
        <x:v>☐</x:v>
      </x:c>
      <x:c r="N40" s="32" t="str">
        <x:v>Design pitch</x:v>
      </x:c>
      <x:c r="O40" s="32" t="str">
        <x:v>No</x:v>
      </x:c>
      <x:c r="P40" s="32" t="str"/>
      <x:c r="Q40" s="32" t="str"/>
      <x:c r="R40" s="32" t="str">
        <x:v>Decision Log / Sponsor tabs</x:v>
      </x:c>
      <x:c r="S40" s="32" t="str">
        <x:v>Kenny</x:v>
      </x:c>
      <x:c r="T40" s="40" t="n">
        <x:f>IF($M40="☑",1,IF($L40="In Progress",0.5,0))</x:f>
        <x:v>0</x:v>
      </x:c>
      <x:c r="U40" s="32" t="n">
        <x:f>IF($J40="","",$J40-TODAY())</x:f>
        <x:v>11</x:v>
      </x:c>
    </x:row>
    <x:row r="41">
      <x:c r="A41" s="32" t="str">
        <x:v>T037</x:v>
      </x:c>
      <x:c r="B41" s="36" t="n">
        <x:v>46203</x:v>
      </x:c>
      <x:c r="C41" s="32" t="str">
        <x:v>W27</x:v>
      </x:c>
      <x:c r="D41" s="32" t="str">
        <x:v>5. Simulation Prep</x:v>
      </x:c>
      <x:c r="E41" s="32" t="str">
        <x:v>Simulation setup and model simplification</x:v>
      </x:c>
      <x:c r="F41" s="32" t="str">
        <x:v>Evening / focused block</x:v>
      </x:c>
      <x:c r="G41" s="32" t="str">
        <x:v>Create FEA-only CAD: chassis, mounts, seat loads, axle loads; remove cosmetic bodywork.</x:v>
      </x:c>
      <x:c r="H41" s="32" t="str">
        <x:v>FEA model v0</x:v>
      </x:c>
      <x:c r="I41" s="38" t="n">
        <x:v>1</x:v>
      </x:c>
      <x:c r="J41" s="36" t="n">
        <x:v>46203</x:v>
      </x:c>
      <x:c r="K41" s="32" t="str">
        <x:v>P0 Critical</x:v>
      </x:c>
      <x:c r="L41" s="32" t="str">
        <x:v>Not Started</x:v>
      </x:c>
      <x:c r="M41" s="32" t="str">
        <x:v>☐</x:v>
      </x:c>
      <x:c r="N41" s="32" t="str">
        <x:v>Chassis CAD</x:v>
      </x:c>
      <x:c r="O41" s="32" t="str">
        <x:v>No</x:v>
      </x:c>
      <x:c r="P41" s="32" t="str"/>
      <x:c r="Q41" s="32" t="str"/>
      <x:c r="R41" s="32" t="str">
        <x:v>Fusion simulation workspace</x:v>
      </x:c>
      <x:c r="S41" s="32" t="str">
        <x:v>Kenny</x:v>
      </x:c>
      <x:c r="T41" s="40" t="n">
        <x:f>IF($M41="☑",1,IF($L41="In Progress",0.5,0))</x:f>
        <x:v>0</x:v>
      </x:c>
      <x:c r="U41" s="32" t="n">
        <x:f>IF($J41="","",$J41-TODAY())</x:f>
        <x:v>12</x:v>
      </x:c>
    </x:row>
    <x:row r="42">
      <x:c r="A42" s="32" t="str">
        <x:v>T038</x:v>
      </x:c>
      <x:c r="B42" s="36" t="n">
        <x:v>46203</x:v>
      </x:c>
      <x:c r="C42" s="32" t="str">
        <x:v>W27</x:v>
      </x:c>
      <x:c r="D42" s="32" t="str">
        <x:v>5. Simulation Prep</x:v>
      </x:c>
      <x:c r="E42" s="32" t="str">
        <x:v>Simulation setup and model simplification</x:v>
      </x:c>
      <x:c r="F42" s="32" t="str">
        <x:v>Evening / focused block</x:v>
      </x:c>
      <x:c r="G42" s="32" t="str">
        <x:v>Define FEA load cases: static, braking, cornering, jump landing at 4–5× loaded weight.</x:v>
      </x:c>
      <x:c r="H42" s="32" t="str">
        <x:v>FEA load-case sheet</x:v>
      </x:c>
      <x:c r="I42" s="38" t="n">
        <x:v>0.8</x:v>
      </x:c>
      <x:c r="J42" s="36" t="n">
        <x:v>46203</x:v>
      </x:c>
      <x:c r="K42" s="32" t="str">
        <x:v>P0 Critical</x:v>
      </x:c>
      <x:c r="L42" s="32" t="str">
        <x:v>Not Started</x:v>
      </x:c>
      <x:c r="M42" s="32" t="str">
        <x:v>☐</x:v>
      </x:c>
      <x:c r="N42" s="32" t="str">
        <x:v>Mass budget</x:v>
      </x:c>
      <x:c r="O42" s="32" t="str">
        <x:v>Yes</x:v>
      </x:c>
      <x:c r="P42" s="32" t="str">
        <x:v>What load cases are mandatory before build?</x:v>
      </x:c>
      <x:c r="Q42" s="32" t="str"/>
      <x:c r="R42" s="32" t="str">
        <x:v>Sim Runs sheet</x:v>
      </x:c>
      <x:c r="S42" s="32" t="str">
        <x:v>Kenny</x:v>
      </x:c>
      <x:c r="T42" s="40" t="n">
        <x:f>IF($M42="☑",1,IF($L42="In Progress",0.5,0))</x:f>
        <x:v>0</x:v>
      </x:c>
      <x:c r="U42" s="32" t="n">
        <x:f>IF($J42="","",$J42-TODAY())</x:f>
        <x:v>12</x:v>
      </x:c>
    </x:row>
    <x:row r="43">
      <x:c r="A43" s="32" t="str">
        <x:v>T039</x:v>
      </x:c>
      <x:c r="B43" s="36" t="n">
        <x:v>46203</x:v>
      </x:c>
      <x:c r="C43" s="32" t="str">
        <x:v>W27</x:v>
      </x:c>
      <x:c r="D43" s="32" t="str">
        <x:v>5. Simulation Prep</x:v>
      </x:c>
      <x:c r="E43" s="32" t="str">
        <x:v>Simulation setup and model simplification</x:v>
      </x:c>
      <x:c r="F43" s="32" t="str">
        <x:v>Evening / focused block</x:v>
      </x:c>
      <x:c r="G43" s="32" t="str">
        <x:v>Create CFD-only CAD: simple body/wheels/driver envelope; define baseline upright, raked, boat-tail variants.</x:v>
      </x:c>
      <x:c r="H43" s="32" t="str">
        <x:v>CFD variants v0</x:v>
      </x:c>
      <x:c r="I43" s="38" t="n">
        <x:v>1</x:v>
      </x:c>
      <x:c r="J43" s="36" t="n">
        <x:v>46203</x:v>
      </x:c>
      <x:c r="K43" s="32" t="str">
        <x:v>P1 High</x:v>
      </x:c>
      <x:c r="L43" s="32" t="str">
        <x:v>Not Started</x:v>
      </x:c>
      <x:c r="M43" s="32" t="str">
        <x:v>☐</x:v>
      </x:c>
      <x:c r="N43" s="32" t="str">
        <x:v>Body CAD</x:v>
      </x:c>
      <x:c r="O43" s="32" t="str">
        <x:v>No</x:v>
      </x:c>
      <x:c r="P43" s="32" t="str"/>
      <x:c r="Q43" s="32" t="str"/>
      <x:c r="R43" s="32" t="str">
        <x:v>SimScale import prep</x:v>
      </x:c>
      <x:c r="S43" s="32" t="str">
        <x:v>Kenny</x:v>
      </x:c>
      <x:c r="T43" s="40" t="n">
        <x:f>IF($M43="☑",1,IF($L43="In Progress",0.5,0))</x:f>
        <x:v>0</x:v>
      </x:c>
      <x:c r="U43" s="32" t="n">
        <x:f>IF($J43="","",$J43-TODAY())</x:f>
        <x:v>12</x:v>
      </x:c>
    </x:row>
    <x:row r="44">
      <x:c r="A44" s="32" t="str">
        <x:v>T040</x:v>
      </x:c>
      <x:c r="B44" s="36" t="n">
        <x:v>46204</x:v>
      </x:c>
      <x:c r="C44" s="32" t="str">
        <x:v>W27</x:v>
      </x:c>
      <x:c r="D44" s="32" t="str">
        <x:v>6. FEA Iteration</x:v>
      </x:c>
      <x:c r="E44" s="32" t="str">
        <x:v>FEA run 1</x:v>
      </x:c>
      <x:c r="F44" s="32" t="str">
        <x:v>Evening / focused block</x:v>
      </x:c>
      <x:c r="G44" s="32" t="str">
        <x:v>Run a Fusion static stress tutorial or simple beam test to avoid setup mistakes.</x:v>
      </x:c>
      <x:c r="H44" s="32" t="str">
        <x:v>FEA practice run completed</x:v>
      </x:c>
      <x:c r="I44" s="38" t="n">
        <x:v>0.8</x:v>
      </x:c>
      <x:c r="J44" s="36" t="n">
        <x:v>46204</x:v>
      </x:c>
      <x:c r="K44" s="32" t="str">
        <x:v>P1 High</x:v>
      </x:c>
      <x:c r="L44" s="32" t="str">
        <x:v>Not Started</x:v>
      </x:c>
      <x:c r="M44" s="32" t="str">
        <x:v>☐</x:v>
      </x:c>
      <x:c r="N44" s="32" t="str">
        <x:v>Fusion setup</x:v>
      </x:c>
      <x:c r="O44" s="32" t="str">
        <x:v>No</x:v>
      </x:c>
      <x:c r="P44" s="32" t="str"/>
      <x:c r="Q44" s="32" t="str"/>
      <x:c r="R44" s="32" t="str">
        <x:v>Fusion learning</x:v>
      </x:c>
      <x:c r="S44" s="32" t="str">
        <x:v>Kenny</x:v>
      </x:c>
      <x:c r="T44" s="40" t="n">
        <x:f>IF($M44="☑",1,IF($L44="In Progress",0.5,0))</x:f>
        <x:v>0</x:v>
      </x:c>
      <x:c r="U44" s="32" t="n">
        <x:f>IF($J44="","",$J44-TODAY())</x:f>
        <x:v>13</x:v>
      </x:c>
    </x:row>
    <x:row r="45">
      <x:c r="A45" s="32" t="str">
        <x:v>T041</x:v>
      </x:c>
      <x:c r="B45" s="36" t="n">
        <x:v>46204</x:v>
      </x:c>
      <x:c r="C45" s="32" t="str">
        <x:v>W27</x:v>
      </x:c>
      <x:c r="D45" s="32" t="str">
        <x:v>6. FEA Iteration</x:v>
      </x:c>
      <x:c r="E45" s="32" t="str">
        <x:v>FEA run 1</x:v>
      </x:c>
      <x:c r="F45" s="32" t="str">
        <x:v>Evening / focused block</x:v>
      </x:c>
      <x:c r="G45" s="32" t="str">
        <x:v>Apply materials, constraints, and load cases to chassis v0; run FEA-01.</x:v>
      </x:c>
      <x:c r="H45" s="32" t="str">
        <x:v>FEA-01 results logged</x:v>
      </x:c>
      <x:c r="I45" s="38" t="n">
        <x:v>1.5</x:v>
      </x:c>
      <x:c r="J45" s="36" t="n">
        <x:v>46204</x:v>
      </x:c>
      <x:c r="K45" s="32" t="str">
        <x:v>P0 Critical</x:v>
      </x:c>
      <x:c r="L45" s="32" t="str">
        <x:v>Not Started</x:v>
      </x:c>
      <x:c r="M45" s="32" t="str">
        <x:v>☐</x:v>
      </x:c>
      <x:c r="N45" s="32" t="str">
        <x:v>FEA model</x:v>
      </x:c>
      <x:c r="O45" s="32" t="str">
        <x:v>No</x:v>
      </x:c>
      <x:c r="P45" s="32" t="str"/>
      <x:c r="Q45" s="32" t="str"/>
      <x:c r="R45" s="32" t="str">
        <x:v>Fusion FEA</x:v>
      </x:c>
      <x:c r="S45" s="32" t="str">
        <x:v>Kenny</x:v>
      </x:c>
      <x:c r="T45" s="40" t="n">
        <x:f>IF($M45="☑",1,IF($L45="In Progress",0.5,0))</x:f>
        <x:v>0</x:v>
      </x:c>
      <x:c r="U45" s="32" t="n">
        <x:f>IF($J45="","",$J45-TODAY())</x:f>
        <x:v>13</x:v>
      </x:c>
    </x:row>
    <x:row r="46">
      <x:c r="A46" s="32" t="str">
        <x:v>T042</x:v>
      </x:c>
      <x:c r="B46" s="36" t="n">
        <x:v>46204</x:v>
      </x:c>
      <x:c r="C46" s="32" t="str">
        <x:v>W27</x:v>
      </x:c>
      <x:c r="D46" s="32" t="str">
        <x:v>6. FEA Iteration</x:v>
      </x:c>
      <x:c r="E46" s="32" t="str">
        <x:v>FEA run 1</x:v>
      </x:c>
      <x:c r="F46" s="32" t="str">
        <x:v>Evening / focused block</x:v>
      </x:c>
      <x:c r="G46" s="32" t="str">
        <x:v>Capture max stress, max displacement, safety factor, and failed joints/screenshots.</x:v>
      </x:c>
      <x:c r="H46" s="32" t="str">
        <x:v>FEA evidence saved</x:v>
      </x:c>
      <x:c r="I46" s="38" t="n">
        <x:v>0.5</x:v>
      </x:c>
      <x:c r="J46" s="36" t="n">
        <x:v>46204</x:v>
      </x:c>
      <x:c r="K46" s="32" t="str">
        <x:v>P0 Critical</x:v>
      </x:c>
      <x:c r="L46" s="32" t="str">
        <x:v>Not Started</x:v>
      </x:c>
      <x:c r="M46" s="32" t="str">
        <x:v>☐</x:v>
      </x:c>
      <x:c r="N46" s="32" t="str">
        <x:v>FEA-01</x:v>
      </x:c>
      <x:c r="O46" s="32" t="str">
        <x:v>No</x:v>
      </x:c>
      <x:c r="P46" s="32" t="str"/>
      <x:c r="Q46" s="32" t="str"/>
      <x:c r="R46" s="32" t="str">
        <x:v>Sim Runs sheet</x:v>
      </x:c>
      <x:c r="S46" s="32" t="str">
        <x:v>Kenny</x:v>
      </x:c>
      <x:c r="T46" s="40" t="n">
        <x:f>IF($M46="☑",1,IF($L46="In Progress",0.5,0))</x:f>
        <x:v>0</x:v>
      </x:c>
      <x:c r="U46" s="32" t="n">
        <x:f>IF($J46="","",$J46-TODAY())</x:f>
        <x:v>13</x:v>
      </x:c>
    </x:row>
    <x:row r="47">
      <x:c r="A47" s="32" t="str">
        <x:v>T043</x:v>
      </x:c>
      <x:c r="B47" s="36" t="n">
        <x:v>46205</x:v>
      </x:c>
      <x:c r="C47" s="32" t="str">
        <x:v>W27</x:v>
      </x:c>
      <x:c r="D47" s="32" t="str">
        <x:v>6. FEA Iteration</x:v>
      </x:c>
      <x:c r="E47" s="32" t="str">
        <x:v>FEA improvement pass</x:v>
      </x:c>
      <x:c r="F47" s="32" t="str">
        <x:v>Evening / focused block</x:v>
      </x:c>
      <x:c r="G47" s="32" t="str">
        <x:v>Add bracing/gussets/reinforcement where FEA-01 shows stress concentration or excess deflection.</x:v>
      </x:c>
      <x:c r="H47" s="32" t="str">
        <x:v>Chassis CAD v1</x:v>
      </x:c>
      <x:c r="I47" s="38" t="n">
        <x:v>1.2</x:v>
      </x:c>
      <x:c r="J47" s="36" t="n">
        <x:v>46205</x:v>
      </x:c>
      <x:c r="K47" s="32" t="str">
        <x:v>P0 Critical</x:v>
      </x:c>
      <x:c r="L47" s="32" t="str">
        <x:v>Not Started</x:v>
      </x:c>
      <x:c r="M47" s="32" t="str">
        <x:v>☐</x:v>
      </x:c>
      <x:c r="N47" s="32" t="str">
        <x:v>FEA-01 results</x:v>
      </x:c>
      <x:c r="O47" s="32" t="str">
        <x:v>No</x:v>
      </x:c>
      <x:c r="P47" s="32" t="str"/>
      <x:c r="Q47" s="32" t="str"/>
      <x:c r="R47" s="32" t="str">
        <x:v>Fusion</x:v>
      </x:c>
      <x:c r="S47" s="32" t="str">
        <x:v>Kenny</x:v>
      </x:c>
      <x:c r="T47" s="40" t="n">
        <x:f>IF($M47="☑",1,IF($L47="In Progress",0.5,0))</x:f>
        <x:v>0</x:v>
      </x:c>
      <x:c r="U47" s="32" t="n">
        <x:f>IF($J47="","",$J47-TODAY())</x:f>
        <x:v>14</x:v>
      </x:c>
    </x:row>
    <x:row r="48">
      <x:c r="A48" s="32" t="str">
        <x:v>T044</x:v>
      </x:c>
      <x:c r="B48" s="36" t="n">
        <x:v>46205</x:v>
      </x:c>
      <x:c r="C48" s="32" t="str">
        <x:v>W27</x:v>
      </x:c>
      <x:c r="D48" s="32" t="str">
        <x:v>6. FEA Iteration</x:v>
      </x:c>
      <x:c r="E48" s="32" t="str">
        <x:v>FEA improvement pass</x:v>
      </x:c>
      <x:c r="F48" s="32" t="str">
        <x:v>Evening / focused block</x:v>
      </x:c>
      <x:c r="G48" s="32" t="str">
        <x:v>Rerun FEA-02 using the same load cases and compare against FEA-01.</x:v>
      </x:c>
      <x:c r="H48" s="32" t="str">
        <x:v>FEA-02 comparison logged</x:v>
      </x:c>
      <x:c r="I48" s="38" t="n">
        <x:v>1.2</x:v>
      </x:c>
      <x:c r="J48" s="36" t="n">
        <x:v>46205</x:v>
      </x:c>
      <x:c r="K48" s="32" t="str">
        <x:v>P0 Critical</x:v>
      </x:c>
      <x:c r="L48" s="32" t="str">
        <x:v>Not Started</x:v>
      </x:c>
      <x:c r="M48" s="32" t="str">
        <x:v>☐</x:v>
      </x:c>
      <x:c r="N48" s="32" t="str">
        <x:v>Chassis CAD v1</x:v>
      </x:c>
      <x:c r="O48" s="32" t="str">
        <x:v>No</x:v>
      </x:c>
      <x:c r="P48" s="32" t="str"/>
      <x:c r="Q48" s="32" t="str"/>
      <x:c r="R48" s="32" t="str">
        <x:v>Fusion FEA</x:v>
      </x:c>
      <x:c r="S48" s="32" t="str">
        <x:v>Kenny</x:v>
      </x:c>
      <x:c r="T48" s="40" t="n">
        <x:f>IF($M48="☑",1,IF($L48="In Progress",0.5,0))</x:f>
        <x:v>0</x:v>
      </x:c>
      <x:c r="U48" s="32" t="n">
        <x:f>IF($J48="","",$J48-TODAY())</x:f>
        <x:v>14</x:v>
      </x:c>
    </x:row>
    <x:row r="49">
      <x:c r="A49" s="32" t="str">
        <x:v>T045</x:v>
      </x:c>
      <x:c r="B49" s="36" t="n">
        <x:v>46205</x:v>
      </x:c>
      <x:c r="C49" s="32" t="str">
        <x:v>W27</x:v>
      </x:c>
      <x:c r="D49" s="32" t="str">
        <x:v>6. FEA Iteration</x:v>
      </x:c>
      <x:c r="E49" s="32" t="str">
        <x:v>FEA improvement pass</x:v>
      </x:c>
      <x:c r="F49" s="32" t="str">
        <x:v>Evening / focused block</x:v>
      </x:c>
      <x:c r="G49" s="32" t="str">
        <x:v>Decision: approve bracing pattern, simplify further, or shift material strategy.</x:v>
      </x:c>
      <x:c r="H49" s="32" t="str">
        <x:v>Structural decision logged</x:v>
      </x:c>
      <x:c r="I49" s="38" t="n">
        <x:v>0.5</x:v>
      </x:c>
      <x:c r="J49" s="36" t="n">
        <x:v>46205</x:v>
      </x:c>
      <x:c r="K49" s="32" t="str">
        <x:v>P0 Critical</x:v>
      </x:c>
      <x:c r="L49" s="32" t="str">
        <x:v>Not Started</x:v>
      </x:c>
      <x:c r="M49" s="32" t="str">
        <x:v>☐</x:v>
      </x:c>
      <x:c r="N49" s="32" t="str">
        <x:v>FEA-02 results</x:v>
      </x:c>
      <x:c r="O49" s="32" t="str">
        <x:v>Yes</x:v>
      </x:c>
      <x:c r="P49" s="32" t="str">
        <x:v>Does the chassis pass the safety-factor target, or does it need redesign?</x:v>
      </x:c>
      <x:c r="Q49" s="32" t="str"/>
      <x:c r="R49" s="32" t="str">
        <x:v>Decision Log sheet</x:v>
      </x:c>
      <x:c r="S49" s="32" t="str">
        <x:v>Kenny</x:v>
      </x:c>
      <x:c r="T49" s="40" t="n">
        <x:f>IF($M49="☑",1,IF($L49="In Progress",0.5,0))</x:f>
        <x:v>0</x:v>
      </x:c>
      <x:c r="U49" s="32" t="n">
        <x:f>IF($J49="","",$J49-TODAY())</x:f>
        <x:v>14</x:v>
      </x:c>
    </x:row>
    <x:row r="50">
      <x:c r="A50" s="32" t="str">
        <x:v>T046</x:v>
      </x:c>
      <x:c r="B50" s="36" t="n">
        <x:v>46206</x:v>
      </x:c>
      <x:c r="C50" s="32" t="str">
        <x:v>W27</x:v>
      </x:c>
      <x:c r="D50" s="32" t="str">
        <x:v>7. CFD Iteration</x:v>
      </x:c>
      <x:c r="E50" s="32" t="str">
        <x:v>CFD baseline</x:v>
      </x:c>
      <x:c r="F50" s="32" t="str">
        <x:v>Evening / focused block</x:v>
      </x:c>
      <x:c r="G50" s="32" t="str">
        <x:v>Upload/import simplified upright model to SimScale or equivalent external aerodynamics setup.</x:v>
      </x:c>
      <x:c r="H50" s="32" t="str">
        <x:v>CFD-01 setup</x:v>
      </x:c>
      <x:c r="I50" s="38" t="n">
        <x:v>1</x:v>
      </x:c>
      <x:c r="J50" s="36" t="n">
        <x:v>46206</x:v>
      </x:c>
      <x:c r="K50" s="32" t="str">
        <x:v>P1 High</x:v>
      </x:c>
      <x:c r="L50" s="32" t="str">
        <x:v>Not Started</x:v>
      </x:c>
      <x:c r="M50" s="32" t="str">
        <x:v>☐</x:v>
      </x:c>
      <x:c r="N50" s="32" t="str">
        <x:v>CFD model</x:v>
      </x:c>
      <x:c r="O50" s="32" t="str">
        <x:v>No</x:v>
      </x:c>
      <x:c r="P50" s="32" t="str"/>
      <x:c r="Q50" s="32" t="str"/>
      <x:c r="R50" s="32" t="str">
        <x:v>https://www.simscale.com/product/cfd/</x:v>
      </x:c>
      <x:c r="S50" s="32" t="str">
        <x:v>Kenny</x:v>
      </x:c>
      <x:c r="T50" s="40" t="n">
        <x:f>IF($M50="☑",1,IF($L50="In Progress",0.5,0))</x:f>
        <x:v>0</x:v>
      </x:c>
      <x:c r="U50" s="32" t="n">
        <x:f>IF($J50="","",$J50-TODAY())</x:f>
        <x:v>15</x:v>
      </x:c>
    </x:row>
    <x:row r="51">
      <x:c r="A51" s="32" t="str">
        <x:v>T047</x:v>
      </x:c>
      <x:c r="B51" s="36" t="n">
        <x:v>46206</x:v>
      </x:c>
      <x:c r="C51" s="32" t="str">
        <x:v>W27</x:v>
      </x:c>
      <x:c r="D51" s="32" t="str">
        <x:v>7. CFD Iteration</x:v>
      </x:c>
      <x:c r="E51" s="32" t="str">
        <x:v>CFD baseline</x:v>
      </x:c>
      <x:c r="F51" s="32" t="str">
        <x:v>Evening / focused block</x:v>
      </x:c>
      <x:c r="G51" s="32" t="str">
        <x:v>Run CFD-01 upright heater baseline at consistent speed settings, e.g. 30, 45, 60 km/h if feasible.</x:v>
      </x:c>
      <x:c r="H51" s="32" t="str">
        <x:v>CFD-01 run logged</x:v>
      </x:c>
      <x:c r="I51" s="38" t="n">
        <x:v>1.2</x:v>
      </x:c>
      <x:c r="J51" s="36" t="n">
        <x:v>46206</x:v>
      </x:c>
      <x:c r="K51" s="32" t="str">
        <x:v>P1 High</x:v>
      </x:c>
      <x:c r="L51" s="32" t="str">
        <x:v>Not Started</x:v>
      </x:c>
      <x:c r="M51" s="32" t="str">
        <x:v>☐</x:v>
      </x:c>
      <x:c r="N51" s="32" t="str">
        <x:v>CFD-01 setup</x:v>
      </x:c>
      <x:c r="O51" s="32" t="str">
        <x:v>No</x:v>
      </x:c>
      <x:c r="P51" s="32" t="str"/>
      <x:c r="Q51" s="32" t="str"/>
      <x:c r="R51" s="32" t="str">
        <x:v>SimScale</x:v>
      </x:c>
      <x:c r="S51" s="32" t="str">
        <x:v>Kenny</x:v>
      </x:c>
      <x:c r="T51" s="40" t="n">
        <x:f>IF($M51="☑",1,IF($L51="In Progress",0.5,0))</x:f>
        <x:v>0</x:v>
      </x:c>
      <x:c r="U51" s="32" t="n">
        <x:f>IF($J51="","",$J51-TODAY())</x:f>
        <x:v>15</x:v>
      </x:c>
    </x:row>
    <x:row r="52">
      <x:c r="A52" s="32" t="str">
        <x:v>T048</x:v>
      </x:c>
      <x:c r="B52" s="36" t="n">
        <x:v>46206</x:v>
      </x:c>
      <x:c r="C52" s="32" t="str">
        <x:v>W27</x:v>
      </x:c>
      <x:c r="D52" s="32" t="str">
        <x:v>7. CFD Iteration</x:v>
      </x:c>
      <x:c r="E52" s="32" t="str">
        <x:v>CFD baseline</x:v>
      </x:c>
      <x:c r="F52" s="32" t="str">
        <x:v>Evening / focused block</x:v>
      </x:c>
      <x:c r="G52" s="32" t="str">
        <x:v>Capture drag metric, pressure plot, wake plot, and mesh/setup notes.</x:v>
      </x:c>
      <x:c r="H52" s="32" t="str">
        <x:v>Baseline CFD evidence</x:v>
      </x:c>
      <x:c r="I52" s="38" t="n">
        <x:v>0.6</x:v>
      </x:c>
      <x:c r="J52" s="36" t="n">
        <x:v>46206</x:v>
      </x:c>
      <x:c r="K52" s="32" t="str">
        <x:v>P1 High</x:v>
      </x:c>
      <x:c r="L52" s="32" t="str">
        <x:v>Not Started</x:v>
      </x:c>
      <x:c r="M52" s="32" t="str">
        <x:v>☐</x:v>
      </x:c>
      <x:c r="N52" s="32" t="str">
        <x:v>CFD-01 results</x:v>
      </x:c>
      <x:c r="O52" s="32" t="str">
        <x:v>No</x:v>
      </x:c>
      <x:c r="P52" s="32" t="str"/>
      <x:c r="Q52" s="32" t="str"/>
      <x:c r="R52" s="32" t="str">
        <x:v>Sim Runs sheet</x:v>
      </x:c>
      <x:c r="S52" s="32" t="str">
        <x:v>Kenny</x:v>
      </x:c>
      <x:c r="T52" s="40" t="n">
        <x:f>IF($M52="☑",1,IF($L52="In Progress",0.5,0))</x:f>
        <x:v>0</x:v>
      </x:c>
      <x:c r="U52" s="32" t="n">
        <x:f>IF($J52="","",$J52-TODAY())</x:f>
        <x:v>15</x:v>
      </x:c>
    </x:row>
    <x:row r="53">
      <x:c r="A53" s="32" t="str">
        <x:v>T049</x:v>
      </x:c>
      <x:c r="B53" s="36" t="n">
        <x:v>46207</x:v>
      </x:c>
      <x:c r="C53" s="32" t="str">
        <x:v>W27</x:v>
      </x:c>
      <x:c r="D53" s="32" t="str">
        <x:v>7. CFD Iteration</x:v>
      </x:c>
      <x:c r="E53" s="32" t="str">
        <x:v>CFD variant testing</x:v>
      </x:c>
      <x:c r="F53" s="32" t="str">
        <x:v>Weekend build block</x:v>
      </x:c>
      <x:c r="G53" s="32" t="str">
        <x:v>Run CFD-02 raked body variant with the same settings as baseline.</x:v>
      </x:c>
      <x:c r="H53" s="32" t="str">
        <x:v>CFD-02 results</x:v>
      </x:c>
      <x:c r="I53" s="38" t="n">
        <x:v>1.2</x:v>
      </x:c>
      <x:c r="J53" s="36" t="n">
        <x:v>46207</x:v>
      </x:c>
      <x:c r="K53" s="32" t="str">
        <x:v>P1 High</x:v>
      </x:c>
      <x:c r="L53" s="32" t="str">
        <x:v>Not Started</x:v>
      </x:c>
      <x:c r="M53" s="32" t="str">
        <x:v>☐</x:v>
      </x:c>
      <x:c r="N53" s="32" t="str">
        <x:v>CFD-01 baseline</x:v>
      </x:c>
      <x:c r="O53" s="32" t="str">
        <x:v>No</x:v>
      </x:c>
      <x:c r="P53" s="32" t="str"/>
      <x:c r="Q53" s="32" t="str"/>
      <x:c r="R53" s="32" t="str">
        <x:v>SimScale</x:v>
      </x:c>
      <x:c r="S53" s="32" t="str">
        <x:v>Kenny</x:v>
      </x:c>
      <x:c r="T53" s="40" t="n">
        <x:f>IF($M53="☑",1,IF($L53="In Progress",0.5,0))</x:f>
        <x:v>0</x:v>
      </x:c>
      <x:c r="U53" s="32" t="n">
        <x:f>IF($J53="","",$J53-TODAY())</x:f>
        <x:v>16</x:v>
      </x:c>
    </x:row>
    <x:row r="54">
      <x:c r="A54" s="32" t="str">
        <x:v>T050</x:v>
      </x:c>
      <x:c r="B54" s="36" t="n">
        <x:v>46207</x:v>
      </x:c>
      <x:c r="C54" s="32" t="str">
        <x:v>W27</x:v>
      </x:c>
      <x:c r="D54" s="32" t="str">
        <x:v>7. CFD Iteration</x:v>
      </x:c>
      <x:c r="E54" s="32" t="str">
        <x:v>CFD variant testing</x:v>
      </x:c>
      <x:c r="F54" s="32" t="str">
        <x:v>Weekend build block</x:v>
      </x:c>
      <x:c r="G54" s="32" t="str">
        <x:v>Run CFD-03 raked + boat-tail/gas-cylinder pod variant with identical settings.</x:v>
      </x:c>
      <x:c r="H54" s="32" t="str">
        <x:v>CFD-03 results</x:v>
      </x:c>
      <x:c r="I54" s="38" t="n">
        <x:v>1.2</x:v>
      </x:c>
      <x:c r="J54" s="36" t="n">
        <x:v>46207</x:v>
      </x:c>
      <x:c r="K54" s="32" t="str">
        <x:v>P1 High</x:v>
      </x:c>
      <x:c r="L54" s="32" t="str">
        <x:v>Not Started</x:v>
      </x:c>
      <x:c r="M54" s="32" t="str">
        <x:v>☐</x:v>
      </x:c>
      <x:c r="N54" s="32" t="str">
        <x:v>CFD-02</x:v>
      </x:c>
      <x:c r="O54" s="32" t="str">
        <x:v>No</x:v>
      </x:c>
      <x:c r="P54" s="32" t="str"/>
      <x:c r="Q54" s="32" t="str"/>
      <x:c r="R54" s="32" t="str">
        <x:v>SimScale</x:v>
      </x:c>
      <x:c r="S54" s="32" t="str">
        <x:v>Kenny</x:v>
      </x:c>
      <x:c r="T54" s="40" t="n">
        <x:f>IF($M54="☑",1,IF($L54="In Progress",0.5,0))</x:f>
        <x:v>0</x:v>
      </x:c>
      <x:c r="U54" s="32" t="n">
        <x:f>IF($J54="","",$J54-TODAY())</x:f>
        <x:v>16</x:v>
      </x:c>
    </x:row>
    <x:row r="55">
      <x:c r="A55" s="32" t="str">
        <x:v>T051</x:v>
      </x:c>
      <x:c r="B55" s="36" t="n">
        <x:v>46207</x:v>
      </x:c>
      <x:c r="C55" s="32" t="str">
        <x:v>W27</x:v>
      </x:c>
      <x:c r="D55" s="32" t="str">
        <x:v>7. CFD Iteration</x:v>
      </x:c>
      <x:c r="E55" s="32" t="str">
        <x:v>CFD variant testing</x:v>
      </x:c>
      <x:c r="F55" s="32" t="str">
        <x:v>Weekend build block</x:v>
      </x:c>
      <x:c r="G55" s="32" t="str">
        <x:v>Compare drag/wake screenshots and choose next geometry tweak.</x:v>
      </x:c>
      <x:c r="H55" s="32" t="str">
        <x:v>CFD comparison table</x:v>
      </x:c>
      <x:c r="I55" s="38" t="n">
        <x:v>0.8</x:v>
      </x:c>
      <x:c r="J55" s="36" t="n">
        <x:v>46207</x:v>
      </x:c>
      <x:c r="K55" s="32" t="str">
        <x:v>P1 High</x:v>
      </x:c>
      <x:c r="L55" s="32" t="str">
        <x:v>Not Started</x:v>
      </x:c>
      <x:c r="M55" s="32" t="str">
        <x:v>☐</x:v>
      </x:c>
      <x:c r="N55" s="32" t="str">
        <x:v>CFD results</x:v>
      </x:c>
      <x:c r="O55" s="32" t="str">
        <x:v>Yes</x:v>
      </x:c>
      <x:c r="P55" s="32" t="str">
        <x:v>Which body shape gives the best buildable aero improvement?</x:v>
      </x:c>
      <x:c r="Q55" s="32" t="str"/>
      <x:c r="R55" s="32" t="str">
        <x:v>Sim Runs sheet</x:v>
      </x:c>
      <x:c r="S55" s="32" t="str">
        <x:v>Kenny</x:v>
      </x:c>
      <x:c r="T55" s="40" t="n">
        <x:f>IF($M55="☑",1,IF($L55="In Progress",0.5,0))</x:f>
        <x:v>0</x:v>
      </x:c>
      <x:c r="U55" s="32" t="n">
        <x:f>IF($J55="","",$J55-TODAY())</x:f>
        <x:v>16</x:v>
      </x:c>
    </x:row>
    <x:row r="56">
      <x:c r="A56" s="32" t="str">
        <x:v>T052</x:v>
      </x:c>
      <x:c r="B56" s="36" t="n">
        <x:v>46208</x:v>
      </x:c>
      <x:c r="C56" s="32" t="str">
        <x:v>W27</x:v>
      </x:c>
      <x:c r="D56" s="32" t="str">
        <x:v>8. Effects &amp; Reliability</x:v>
      </x:c>
      <x:c r="E56" s="32" t="str">
        <x:v>Mechanical effect validation</x:v>
      </x:c>
      <x:c r="F56" s="32" t="str">
        <x:v>Weekend build block</x:v>
      </x:c>
      <x:c r="G56" s="32" t="str">
        <x:v>Sketch airflow-revealed panel, fabric flame, and manual reveal mechanisms.</x:v>
      </x:c>
      <x:c r="H56" s="32" t="str">
        <x:v>Effect options sketches</x:v>
      </x:c>
      <x:c r="I56" s="38" t="n">
        <x:v>1</x:v>
      </x:c>
      <x:c r="J56" s="36" t="n">
        <x:v>46208</x:v>
      </x:c>
      <x:c r="K56" s="32" t="str">
        <x:v>P1 High</x:v>
      </x:c>
      <x:c r="L56" s="32" t="str">
        <x:v>Not Started</x:v>
      </x:c>
      <x:c r="M56" s="32" t="str">
        <x:v>☐</x:v>
      </x:c>
      <x:c r="N56" s="32" t="str">
        <x:v>Body model</x:v>
      </x:c>
      <x:c r="O56" s="32" t="str">
        <x:v>No</x:v>
      </x:c>
      <x:c r="P56" s="32" t="str"/>
      <x:c r="Q56" s="32" t="str"/>
      <x:c r="R56" s="32" t="str">
        <x:v>Handbook Section 5.7</x:v>
      </x:c>
      <x:c r="S56" s="32" t="str">
        <x:v>Kenny</x:v>
      </x:c>
      <x:c r="T56" s="40" t="n">
        <x:f>IF($M56="☑",1,IF($L56="In Progress",0.5,0))</x:f>
        <x:v>0</x:v>
      </x:c>
      <x:c r="U56" s="32" t="n">
        <x:f>IF($J56="","",$J56-TODAY())</x:f>
        <x:v>17</x:v>
      </x:c>
    </x:row>
    <x:row r="57">
      <x:c r="A57" s="32" t="str">
        <x:v>T053</x:v>
      </x:c>
      <x:c r="B57" s="36" t="n">
        <x:v>46208</x:v>
      </x:c>
      <x:c r="C57" s="32" t="str">
        <x:v>W27</x:v>
      </x:c>
      <x:c r="D57" s="32" t="str">
        <x:v>8. Effects &amp; Reliability</x:v>
      </x:c>
      <x:c r="E57" s="32" t="str">
        <x:v>Mechanical effect validation</x:v>
      </x:c>
      <x:c r="F57" s="32" t="str">
        <x:v>Weekend build block</x:v>
      </x:c>
      <x:c r="G57" s="32" t="str">
        <x:v>Score each mechanism for legality, reliability, jam risk, build time, reset time, and crowd readability.</x:v>
      </x:c>
      <x:c r="H57" s="32" t="str">
        <x:v>Effect scorecard</x:v>
      </x:c>
      <x:c r="I57" s="38" t="n">
        <x:v>0.8</x:v>
      </x:c>
      <x:c r="J57" s="36" t="n">
        <x:v>46208</x:v>
      </x:c>
      <x:c r="K57" s="32" t="str">
        <x:v>P0 Critical</x:v>
      </x:c>
      <x:c r="L57" s="32" t="str">
        <x:v>Not Started</x:v>
      </x:c>
      <x:c r="M57" s="32" t="str">
        <x:v>☐</x:v>
      </x:c>
      <x:c r="N57" s="32" t="str">
        <x:v>Effect sketches</x:v>
      </x:c>
      <x:c r="O57" s="32" t="str">
        <x:v>No</x:v>
      </x:c>
      <x:c r="P57" s="32" t="str"/>
      <x:c r="Q57" s="32" t="str"/>
      <x:c r="R57" s="32" t="str">
        <x:v>Decision Log sheet</x:v>
      </x:c>
      <x:c r="S57" s="32" t="str">
        <x:v>Kenny</x:v>
      </x:c>
      <x:c r="T57" s="40" t="n">
        <x:f>IF($M57="☑",1,IF($L57="In Progress",0.5,0))</x:f>
        <x:v>0</x:v>
      </x:c>
      <x:c r="U57" s="32" t="n">
        <x:f>IF($J57="","",$J57-TODAY())</x:f>
        <x:v>17</x:v>
      </x:c>
    </x:row>
    <x:row r="58">
      <x:c r="A58" s="32" t="str">
        <x:v>T054</x:v>
      </x:c>
      <x:c r="B58" s="36" t="n">
        <x:v>46208</x:v>
      </x:c>
      <x:c r="C58" s="32" t="str">
        <x:v>W27</x:v>
      </x:c>
      <x:c r="D58" s="32" t="str">
        <x:v>8. Effects &amp; Reliability</x:v>
      </x:c>
      <x:c r="E58" s="32" t="str">
        <x:v>Mechanical effect validation</x:v>
      </x:c>
      <x:c r="F58" s="32" t="str">
        <x:v>Weekend build block</x:v>
      </x:c>
      <x:c r="G58" s="32" t="str">
        <x:v>Decision: choose primary effect and backup; define how it cannot jam wheels/steering.</x:v>
      </x:c>
      <x:c r="H58" s="32" t="str">
        <x:v>Effect architecture frozen</x:v>
      </x:c>
      <x:c r="I58" s="38" t="n">
        <x:v>0.6</x:v>
      </x:c>
      <x:c r="J58" s="36" t="n">
        <x:v>46208</x:v>
      </x:c>
      <x:c r="K58" s="32" t="str">
        <x:v>P0 Critical</x:v>
      </x:c>
      <x:c r="L58" s="32" t="str">
        <x:v>Not Started</x:v>
      </x:c>
      <x:c r="M58" s="32" t="str">
        <x:v>☐</x:v>
      </x:c>
      <x:c r="N58" s="32" t="str">
        <x:v>Effect scorecard</x:v>
      </x:c>
      <x:c r="O58" s="32" t="str">
        <x:v>Yes</x:v>
      </x:c>
      <x:c r="P58" s="32" t="str">
        <x:v>Airflow panels, fabric flames, or manual reveal?</x:v>
      </x:c>
      <x:c r="Q58" s="32" t="str"/>
      <x:c r="R58" s="32" t="str">
        <x:v>Decision Log sheet</x:v>
      </x:c>
      <x:c r="S58" s="32" t="str">
        <x:v>Kenny</x:v>
      </x:c>
      <x:c r="T58" s="40" t="n">
        <x:f>IF($M58="☑",1,IF($L58="In Progress",0.5,0))</x:f>
        <x:v>0</x:v>
      </x:c>
      <x:c r="U58" s="32" t="n">
        <x:f>IF($J58="","",$J58-TODAY())</x:f>
        <x:v>17</x:v>
      </x:c>
    </x:row>
    <x:row r="59">
      <x:c r="A59" s="32" t="str">
        <x:v>T055</x:v>
      </x:c>
      <x:c r="B59" s="36" t="n">
        <x:v>46209</x:v>
      </x:c>
      <x:c r="C59" s="32" t="str">
        <x:v>W28</x:v>
      </x:c>
      <x:c r="D59" s="32" t="str">
        <x:v>9. Integrated Review</x:v>
      </x:c>
      <x:c r="E59" s="32" t="str">
        <x:v>Integrated design review</x:v>
      </x:c>
      <x:c r="F59" s="32" t="str">
        <x:v>Evening / focused block</x:v>
      </x:c>
      <x:c r="G59" s="32" t="str">
        <x:v>Update master CAD with winning chassis, steering, brake, body, and effect decisions.</x:v>
      </x:c>
      <x:c r="H59" s="32" t="str">
        <x:v>Master CAD v1</x:v>
      </x:c>
      <x:c r="I59" s="38" t="n">
        <x:v>1.5</x:v>
      </x:c>
      <x:c r="J59" s="36" t="n">
        <x:v>46209</x:v>
      </x:c>
      <x:c r="K59" s="32" t="str">
        <x:v>P0 Critical</x:v>
      </x:c>
      <x:c r="L59" s="32" t="str">
        <x:v>Not Started</x:v>
      </x:c>
      <x:c r="M59" s="32" t="str">
        <x:v>☐</x:v>
      </x:c>
      <x:c r="N59" s="32" t="str">
        <x:v>FEA + CFD + effect decisions</x:v>
      </x:c>
      <x:c r="O59" s="32" t="str">
        <x:v>No</x:v>
      </x:c>
      <x:c r="P59" s="32" t="str"/>
      <x:c r="Q59" s="32" t="str"/>
      <x:c r="R59" s="32" t="str">
        <x:v>Fusion</x:v>
      </x:c>
      <x:c r="S59" s="32" t="str">
        <x:v>Kenny</x:v>
      </x:c>
      <x:c r="T59" s="40" t="n">
        <x:f>IF($M59="☑",1,IF($L59="In Progress",0.5,0))</x:f>
        <x:v>0</x:v>
      </x:c>
      <x:c r="U59" s="32" t="n">
        <x:f>IF($J59="","",$J59-TODAY())</x:f>
        <x:v>18</x:v>
      </x:c>
    </x:row>
    <x:row r="60">
      <x:c r="A60" s="32" t="str">
        <x:v>T056</x:v>
      </x:c>
      <x:c r="B60" s="36" t="n">
        <x:v>46209</x:v>
      </x:c>
      <x:c r="C60" s="32" t="str">
        <x:v>W28</x:v>
      </x:c>
      <x:c r="D60" s="32" t="str">
        <x:v>9. Integrated Review</x:v>
      </x:c>
      <x:c r="E60" s="32" t="str">
        <x:v>Integrated design review</x:v>
      </x:c>
      <x:c r="F60" s="32" t="str">
        <x:v>Evening / focused block</x:v>
      </x:c>
      <x:c r="G60" s="32" t="str">
        <x:v>Review all open P0 decisions and blockers; close or assign next action.</x:v>
      </x:c>
      <x:c r="H60" s="32" t="str">
        <x:v>Decision log cleaned</x:v>
      </x:c>
      <x:c r="I60" s="38" t="n">
        <x:v>0.7</x:v>
      </x:c>
      <x:c r="J60" s="36" t="n">
        <x:v>46209</x:v>
      </x:c>
      <x:c r="K60" s="32" t="str">
        <x:v>P0 Critical</x:v>
      </x:c>
      <x:c r="L60" s="32" t="str">
        <x:v>Not Started</x:v>
      </x:c>
      <x:c r="M60" s="32" t="str">
        <x:v>☐</x:v>
      </x:c>
      <x:c r="N60" s="32" t="str">
        <x:v>Decision log</x:v>
      </x:c>
      <x:c r="O60" s="32" t="str">
        <x:v>No</x:v>
      </x:c>
      <x:c r="P60" s="32" t="str"/>
      <x:c r="Q60" s="32" t="str"/>
      <x:c r="R60" s="32" t="str">
        <x:v>Decision Log sheet</x:v>
      </x:c>
      <x:c r="S60" s="32" t="str">
        <x:v>Kenny</x:v>
      </x:c>
      <x:c r="T60" s="40" t="n">
        <x:f>IF($M60="☑",1,IF($L60="In Progress",0.5,0))</x:f>
        <x:v>0</x:v>
      </x:c>
      <x:c r="U60" s="32" t="n">
        <x:f>IF($J60="","",$J60-TODAY())</x:f>
        <x:v>18</x:v>
      </x:c>
    </x:row>
    <x:row r="61">
      <x:c r="A61" s="32" t="str">
        <x:v>T057</x:v>
      </x:c>
      <x:c r="B61" s="36" t="n">
        <x:v>46209</x:v>
      </x:c>
      <x:c r="C61" s="32" t="str">
        <x:v>W28</x:v>
      </x:c>
      <x:c r="D61" s="32" t="str">
        <x:v>9. Integrated Review</x:v>
      </x:c>
      <x:c r="E61" s="32" t="str">
        <x:v>Integrated design review</x:v>
      </x:c>
      <x:c r="F61" s="32" t="str">
        <x:v>Evening / focused block</x:v>
      </x:c>
      <x:c r="G61" s="32" t="str">
        <x:v>Run Design Gate 1 review: rules, FEA, CFD, mass, steering/brakes, buildability, spectacle.</x:v>
      </x:c>
      <x:c r="H61" s="32" t="str">
        <x:v>Gate 1 score</x:v>
      </x:c>
      <x:c r="I61" s="38" t="n">
        <x:v>0.8</x:v>
      </x:c>
      <x:c r="J61" s="36" t="n">
        <x:v>46209</x:v>
      </x:c>
      <x:c r="K61" s="32" t="str">
        <x:v>P0 Critical</x:v>
      </x:c>
      <x:c r="L61" s="32" t="str">
        <x:v>Not Started</x:v>
      </x:c>
      <x:c r="M61" s="32" t="str">
        <x:v>☐</x:v>
      </x:c>
      <x:c r="N61" s="32" t="str">
        <x:v>Master CAD v1</x:v>
      </x:c>
      <x:c r="O61" s="32" t="str">
        <x:v>Yes</x:v>
      </x:c>
      <x:c r="P61" s="32" t="str">
        <x:v>Is the design ready to turn into build drawings?</x:v>
      </x:c>
      <x:c r="Q61" s="32" t="str"/>
      <x:c r="R61" s="32" t="str">
        <x:v>Build Readiness Gate sheet</x:v>
      </x:c>
      <x:c r="S61" s="32" t="str">
        <x:v>Kenny</x:v>
      </x:c>
      <x:c r="T61" s="40" t="n">
        <x:f>IF($M61="☑",1,IF($L61="In Progress",0.5,0))</x:f>
        <x:v>0</x:v>
      </x:c>
      <x:c r="U61" s="32" t="n">
        <x:f>IF($J61="","",$J61-TODAY())</x:f>
        <x:v>18</x:v>
      </x:c>
    </x:row>
    <x:row r="62">
      <x:c r="A62" s="32" t="str">
        <x:v>T058</x:v>
      </x:c>
      <x:c r="B62" s="36" t="n">
        <x:v>46210</x:v>
      </x:c>
      <x:c r="C62" s="32" t="str">
        <x:v>W28</x:v>
      </x:c>
      <x:c r="D62" s="32" t="str">
        <x:v>10. Build Drawings</x:v>
      </x:c>
      <x:c r="E62" s="32" t="str">
        <x:v>Build drawings v1</x:v>
      </x:c>
      <x:c r="F62" s="32" t="str">
        <x:v>Evening / focused block</x:v>
      </x:c>
      <x:c r="G62" s="32" t="str">
        <x:v>Generate dimensioned drawings/cut list for chassis/floor/body panels/brackets.</x:v>
      </x:c>
      <x:c r="H62" s="32" t="str">
        <x:v>Drawings v1</x:v>
      </x:c>
      <x:c r="I62" s="38" t="n">
        <x:v>1.5</x:v>
      </x:c>
      <x:c r="J62" s="36" t="n">
        <x:v>46210</x:v>
      </x:c>
      <x:c r="K62" s="32" t="str">
        <x:v>P0 Critical</x:v>
      </x:c>
      <x:c r="L62" s="32" t="str">
        <x:v>Not Started</x:v>
      </x:c>
      <x:c r="M62" s="32" t="str">
        <x:v>☐</x:v>
      </x:c>
      <x:c r="N62" s="32" t="str">
        <x:v>Gate 1 pass</x:v>
      </x:c>
      <x:c r="O62" s="32" t="str">
        <x:v>No</x:v>
      </x:c>
      <x:c r="P62" s="32" t="str"/>
      <x:c r="Q62" s="32" t="str"/>
      <x:c r="R62" s="32" t="str">
        <x:v>Fusion drawings / screenshots</x:v>
      </x:c>
      <x:c r="S62" s="32" t="str">
        <x:v>Kenny</x:v>
      </x:c>
      <x:c r="T62" s="40" t="n">
        <x:f>IF($M62="☑",1,IF($L62="In Progress",0.5,0))</x:f>
        <x:v>0</x:v>
      </x:c>
      <x:c r="U62" s="32" t="n">
        <x:f>IF($J62="","",$J62-TODAY())</x:f>
        <x:v>19</x:v>
      </x:c>
    </x:row>
    <x:row r="63">
      <x:c r="A63" s="32" t="str">
        <x:v>T059</x:v>
      </x:c>
      <x:c r="B63" s="36" t="n">
        <x:v>46210</x:v>
      </x:c>
      <x:c r="C63" s="32" t="str">
        <x:v>W28</x:v>
      </x:c>
      <x:c r="D63" s="32" t="str">
        <x:v>10. Build Drawings</x:v>
      </x:c>
      <x:c r="E63" s="32" t="str">
        <x:v>Build drawings v1</x:v>
      </x:c>
      <x:c r="F63" s="32" t="str">
        <x:v>Evening / focused block</x:v>
      </x:c>
      <x:c r="G63" s="32" t="str">
        <x:v>Create assembly sequence: chassis -&gt; axles -&gt; steering -&gt; brakes -&gt; seat -&gt; body -&gt; effects.</x:v>
      </x:c>
      <x:c r="H63" s="32" t="str">
        <x:v>Assembly sequence</x:v>
      </x:c>
      <x:c r="I63" s="38" t="n">
        <x:v>0.8</x:v>
      </x:c>
      <x:c r="J63" s="36" t="n">
        <x:v>46210</x:v>
      </x:c>
      <x:c r="K63" s="32" t="str">
        <x:v>P1 High</x:v>
      </x:c>
      <x:c r="L63" s="32" t="str">
        <x:v>Not Started</x:v>
      </x:c>
      <x:c r="M63" s="32" t="str">
        <x:v>☐</x:v>
      </x:c>
      <x:c r="N63" s="32" t="str">
        <x:v>Drawings v1</x:v>
      </x:c>
      <x:c r="O63" s="32" t="str">
        <x:v>No</x:v>
      </x:c>
      <x:c r="P63" s="32" t="str"/>
      <x:c r="Q63" s="32" t="str"/>
      <x:c r="R63" s="32" t="str">
        <x:v>Instructions sheet</x:v>
      </x:c>
      <x:c r="S63" s="32" t="str">
        <x:v>Kenny</x:v>
      </x:c>
      <x:c r="T63" s="40" t="n">
        <x:f>IF($M63="☑",1,IF($L63="In Progress",0.5,0))</x:f>
        <x:v>0</x:v>
      </x:c>
      <x:c r="U63" s="32" t="n">
        <x:f>IF($J63="","",$J63-TODAY())</x:f>
        <x:v>19</x:v>
      </x:c>
    </x:row>
    <x:row r="64">
      <x:c r="A64" s="32" t="str">
        <x:v>T060</x:v>
      </x:c>
      <x:c r="B64" s="36" t="n">
        <x:v>46210</x:v>
      </x:c>
      <x:c r="C64" s="32" t="str">
        <x:v>W28</x:v>
      </x:c>
      <x:c r="D64" s="32" t="str">
        <x:v>10. Build Drawings</x:v>
      </x:c>
      <x:c r="E64" s="32" t="str">
        <x:v>Build drawings v1</x:v>
      </x:c>
      <x:c r="F64" s="32" t="str">
        <x:v>Evening / focused block</x:v>
      </x:c>
      <x:c r="G64" s="32" t="str">
        <x:v>Mark inspection-critical parts: steering column support, brake mount, axle mounts, ground clearance, battery-free effects.</x:v>
      </x:c>
      <x:c r="H64" s="32" t="str">
        <x:v>Inspection-critical callouts</x:v>
      </x:c>
      <x:c r="I64" s="38" t="n">
        <x:v>0.7</x:v>
      </x:c>
      <x:c r="J64" s="36" t="n">
        <x:v>46210</x:v>
      </x:c>
      <x:c r="K64" s="32" t="str">
        <x:v>P0 Critical</x:v>
      </x:c>
      <x:c r="L64" s="32" t="str">
        <x:v>Not Started</x:v>
      </x:c>
      <x:c r="M64" s="32" t="str">
        <x:v>☐</x:v>
      </x:c>
      <x:c r="N64" s="32" t="str">
        <x:v>Drawings v1</x:v>
      </x:c>
      <x:c r="O64" s="32" t="str">
        <x:v>No</x:v>
      </x:c>
      <x:c r="P64" s="32" t="str"/>
      <x:c r="Q64" s="32" t="str"/>
      <x:c r="R64" s="32" t="str">
        <x:v>Build Readiness Gate</x:v>
      </x:c>
      <x:c r="S64" s="32" t="str">
        <x:v>Kenny</x:v>
      </x:c>
      <x:c r="T64" s="40" t="n">
        <x:f>IF($M64="☑",1,IF($L64="In Progress",0.5,0))</x:f>
        <x:v>0</x:v>
      </x:c>
      <x:c r="U64" s="32" t="n">
        <x:f>IF($J64="","",$J64-TODAY())</x:f>
        <x:v>19</x:v>
      </x:c>
    </x:row>
    <x:row r="65">
      <x:c r="A65" s="32" t="str">
        <x:v>T061</x:v>
      </x:c>
      <x:c r="B65" s="36" t="n">
        <x:v>46211</x:v>
      </x:c>
      <x:c r="C65" s="32" t="str">
        <x:v>W28</x:v>
      </x:c>
      <x:c r="D65" s="32" t="str">
        <x:v>11. Procurement</x:v>
      </x:c>
      <x:c r="E65" s="32" t="str">
        <x:v>Procurement plan</x:v>
      </x:c>
      <x:c r="F65" s="32" t="str">
        <x:v>Evening / focused block</x:v>
      </x:c>
      <x:c r="G65" s="32" t="str">
        <x:v>Find 3 donor go-kart/front-end candidates and 3 wheel/brake options; log prices and availability.</x:v>
      </x:c>
      <x:c r="H65" s="32" t="str">
        <x:v>Procurement shortlist</x:v>
      </x:c>
      <x:c r="I65" s="38" t="n">
        <x:v>1</x:v>
      </x:c>
      <x:c r="J65" s="36" t="n">
        <x:v>46211</x:v>
      </x:c>
      <x:c r="K65" s="32" t="str">
        <x:v>P1 High</x:v>
      </x:c>
      <x:c r="L65" s="32" t="str">
        <x:v>Not Started</x:v>
      </x:c>
      <x:c r="M65" s="32" t="str">
        <x:v>☐</x:v>
      </x:c>
      <x:c r="N65" s="32" t="str">
        <x:v>Architecture decision</x:v>
      </x:c>
      <x:c r="O65" s="32" t="str">
        <x:v>No</x:v>
      </x:c>
      <x:c r="P65" s="32" t="str"/>
      <x:c r="Q65" s="32" t="str"/>
      <x:c r="R65" s="32" t="str">
        <x:v>Marketplace / hardware stores</x:v>
      </x:c>
      <x:c r="S65" s="32" t="str">
        <x:v>Kenny</x:v>
      </x:c>
      <x:c r="T65" s="40" t="n">
        <x:f>IF($M65="☑",1,IF($L65="In Progress",0.5,0))</x:f>
        <x:v>0</x:v>
      </x:c>
      <x:c r="U65" s="32" t="n">
        <x:f>IF($J65="","",$J65-TODAY())</x:f>
        <x:v>20</x:v>
      </x:c>
    </x:row>
    <x:row r="66">
      <x:c r="A66" s="32" t="str">
        <x:v>T062</x:v>
      </x:c>
      <x:c r="B66" s="36" t="n">
        <x:v>46211</x:v>
      </x:c>
      <x:c r="C66" s="32" t="str">
        <x:v>W28</x:v>
      </x:c>
      <x:c r="D66" s="32" t="str">
        <x:v>11. Procurement</x:v>
      </x:c>
      <x:c r="E66" s="32" t="str">
        <x:v>Procurement plan</x:v>
      </x:c>
      <x:c r="F66" s="32" t="str">
        <x:v>Evening / focused block</x:v>
      </x:c>
      <x:c r="G66" s="32" t="str">
        <x:v>Update BOM with material quantities, cost estimate, supplier, and risk/availability notes.</x:v>
      </x:c>
      <x:c r="H66" s="32" t="str">
        <x:v>BOM v1</x:v>
      </x:c>
      <x:c r="I66" s="38" t="n">
        <x:v>1</x:v>
      </x:c>
      <x:c r="J66" s="36" t="n">
        <x:v>46211</x:v>
      </x:c>
      <x:c r="K66" s="32" t="str">
        <x:v>P1 High</x:v>
      </x:c>
      <x:c r="L66" s="32" t="str">
        <x:v>Not Started</x:v>
      </x:c>
      <x:c r="M66" s="32" t="str">
        <x:v>☐</x:v>
      </x:c>
      <x:c r="N66" s="32" t="str">
        <x:v>Cut list</x:v>
      </x:c>
      <x:c r="O66" s="32" t="str">
        <x:v>No</x:v>
      </x:c>
      <x:c r="P66" s="32" t="str"/>
      <x:c r="Q66" s="32" t="str"/>
      <x:c r="R66" s="32" t="str">
        <x:v>Resources &amp; Templates</x:v>
      </x:c>
      <x:c r="S66" s="32" t="str">
        <x:v>Kenny</x:v>
      </x:c>
      <x:c r="T66" s="40" t="n">
        <x:f>IF($M66="☑",1,IF($L66="In Progress",0.5,0))</x:f>
        <x:v>0</x:v>
      </x:c>
      <x:c r="U66" s="32" t="n">
        <x:f>IF($J66="","",$J66-TODAY())</x:f>
        <x:v>20</x:v>
      </x:c>
    </x:row>
    <x:row r="67">
      <x:c r="A67" s="32" t="str">
        <x:v>T063</x:v>
      </x:c>
      <x:c r="B67" s="36" t="n">
        <x:v>46211</x:v>
      </x:c>
      <x:c r="C67" s="32" t="str">
        <x:v>W28</x:v>
      </x:c>
      <x:c r="D67" s="32" t="str">
        <x:v>11. Procurement</x:v>
      </x:c>
      <x:c r="E67" s="32" t="str">
        <x:v>Procurement plan</x:v>
      </x:c>
      <x:c r="F67" s="32" t="str">
        <x:v>Evening / focused block</x:v>
      </x:c>
      <x:c r="G67" s="32" t="str">
        <x:v>Decision: first build purchase list and maximum spend before teammate/sponsor confirmation.</x:v>
      </x:c>
      <x:c r="H67" s="32" t="str">
        <x:v>Purchase gate</x:v>
      </x:c>
      <x:c r="I67" s="38" t="n">
        <x:v>0.5</x:v>
      </x:c>
      <x:c r="J67" s="36" t="n">
        <x:v>46211</x:v>
      </x:c>
      <x:c r="K67" s="32" t="str">
        <x:v>P1 High</x:v>
      </x:c>
      <x:c r="L67" s="32" t="str">
        <x:v>Not Started</x:v>
      </x:c>
      <x:c r="M67" s="32" t="str">
        <x:v>☐</x:v>
      </x:c>
      <x:c r="N67" s="32" t="str">
        <x:v>BOM v1</x:v>
      </x:c>
      <x:c r="O67" s="32" t="str">
        <x:v>Yes</x:v>
      </x:c>
      <x:c r="P67" s="32" t="str">
        <x:v>What can be bought now without risking wasted money?</x:v>
      </x:c>
      <x:c r="Q67" s="32" t="str"/>
      <x:c r="R67" s="32" t="str">
        <x:v>Decision Log sheet</x:v>
      </x:c>
      <x:c r="S67" s="32" t="str">
        <x:v>Kenny</x:v>
      </x:c>
      <x:c r="T67" s="40" t="n">
        <x:f>IF($M67="☑",1,IF($L67="In Progress",0.5,0))</x:f>
        <x:v>0</x:v>
      </x:c>
      <x:c r="U67" s="32" t="n">
        <x:f>IF($J67="","",$J67-TODAY())</x:f>
        <x:v>20</x:v>
      </x:c>
    </x:row>
    <x:row r="68">
      <x:c r="A68" s="32" t="str">
        <x:v>T064</x:v>
      </x:c>
      <x:c r="B68" s="36" t="n">
        <x:v>46212</x:v>
      </x:c>
      <x:c r="C68" s="32" t="str">
        <x:v>W28</x:v>
      </x:c>
      <x:c r="D68" s="32" t="str">
        <x:v>12. Validation Pack</x:v>
      </x:c>
      <x:c r="E68" s="32" t="str">
        <x:v>Validation pack</x:v>
      </x:c>
      <x:c r="F68" s="32" t="str">
        <x:v>Evening / focused block</x:v>
      </x:c>
      <x:c r="G68" s="32" t="str">
        <x:v>Assemble design pack: CAD screenshots, FEA report, CFD comparison, BOM, risk register, build sequence.</x:v>
      </x:c>
      <x:c r="H68" s="32" t="str">
        <x:v>Design Pack v1</x:v>
      </x:c>
      <x:c r="I68" s="38" t="n">
        <x:v>1.5</x:v>
      </x:c>
      <x:c r="J68" s="36" t="n">
        <x:v>46212</x:v>
      </x:c>
      <x:c r="K68" s="32" t="str">
        <x:v>P0 Critical</x:v>
      </x:c>
      <x:c r="L68" s="32" t="str">
        <x:v>Not Started</x:v>
      </x:c>
      <x:c r="M68" s="32" t="str">
        <x:v>☐</x:v>
      </x:c>
      <x:c r="N68" s="32" t="str">
        <x:v>Drawings + simulations</x:v>
      </x:c>
      <x:c r="O68" s="32" t="str">
        <x:v>No</x:v>
      </x:c>
      <x:c r="P68" s="32" t="str"/>
      <x:c r="Q68" s="32" t="str"/>
      <x:c r="R68" s="32" t="str">
        <x:v>Project folder export</x:v>
      </x:c>
      <x:c r="S68" s="32" t="str">
        <x:v>Kenny</x:v>
      </x:c>
      <x:c r="T68" s="40" t="n">
        <x:f>IF($M68="☑",1,IF($L68="In Progress",0.5,0))</x:f>
        <x:v>0</x:v>
      </x:c>
      <x:c r="U68" s="32" t="n">
        <x:f>IF($J68="","",$J68-TODAY())</x:f>
        <x:v>21</x:v>
      </x:c>
    </x:row>
    <x:row r="69">
      <x:c r="A69" s="32" t="str">
        <x:v>T065</x:v>
      </x:c>
      <x:c r="B69" s="36" t="n">
        <x:v>46212</x:v>
      </x:c>
      <x:c r="C69" s="32" t="str">
        <x:v>W28</x:v>
      </x:c>
      <x:c r="D69" s="32" t="str">
        <x:v>12. Validation Pack</x:v>
      </x:c>
      <x:c r="E69" s="32" t="str">
        <x:v>Validation pack</x:v>
      </x:c>
      <x:c r="F69" s="32" t="str">
        <x:v>Evening / focused block</x:v>
      </x:c>
      <x:c r="G69" s="32" t="str">
        <x:v>Ask 1–2 external reviewers to check for obvious safety/buildability issues.</x:v>
      </x:c>
      <x:c r="H69" s="32" t="str">
        <x:v>Review comments logged</x:v>
      </x:c>
      <x:c r="I69" s="38" t="n">
        <x:v>0.8</x:v>
      </x:c>
      <x:c r="J69" s="36" t="n">
        <x:v>46212</x:v>
      </x:c>
      <x:c r="K69" s="32" t="str">
        <x:v>P1 High</x:v>
      </x:c>
      <x:c r="L69" s="32" t="str">
        <x:v>Not Started</x:v>
      </x:c>
      <x:c r="M69" s="32" t="str">
        <x:v>☐</x:v>
      </x:c>
      <x:c r="N69" s="32" t="str">
        <x:v>Design Pack v1</x:v>
      </x:c>
      <x:c r="O69" s="32" t="str">
        <x:v>No</x:v>
      </x:c>
      <x:c r="P69" s="32" t="str"/>
      <x:c r="Q69" s="32" t="str"/>
      <x:c r="R69" s="32" t="str">
        <x:v>Peer review</x:v>
      </x:c>
      <x:c r="S69" s="32" t="str">
        <x:v>Kenny</x:v>
      </x:c>
      <x:c r="T69" s="40" t="n">
        <x:f>IF($M69="☑",1,IF($L69="In Progress",0.5,0))</x:f>
        <x:v>0</x:v>
      </x:c>
      <x:c r="U69" s="32" t="n">
        <x:f>IF($J69="","",$J69-TODAY())</x:f>
        <x:v>21</x:v>
      </x:c>
    </x:row>
    <x:row r="70">
      <x:c r="A70" s="32" t="str">
        <x:v>T066</x:v>
      </x:c>
      <x:c r="B70" s="36" t="n">
        <x:v>46212</x:v>
      </x:c>
      <x:c r="C70" s="32" t="str">
        <x:v>W28</x:v>
      </x:c>
      <x:c r="D70" s="32" t="str">
        <x:v>12. Validation Pack</x:v>
      </x:c>
      <x:c r="E70" s="32" t="str">
        <x:v>Validation pack</x:v>
      </x:c>
      <x:c r="F70" s="32" t="str">
        <x:v>Evening / focused block</x:v>
      </x:c>
      <x:c r="G70" s="32" t="str">
        <x:v>Revise the design pack based on review comments; flag unresolved issues.</x:v>
      </x:c>
      <x:c r="H70" s="32" t="str">
        <x:v>Design Pack v1.1</x:v>
      </x:c>
      <x:c r="I70" s="38" t="n">
        <x:v>0.8</x:v>
      </x:c>
      <x:c r="J70" s="36" t="n">
        <x:v>46212</x:v>
      </x:c>
      <x:c r="K70" s="32" t="str">
        <x:v>P0 Critical</x:v>
      </x:c>
      <x:c r="L70" s="32" t="str">
        <x:v>Not Started</x:v>
      </x:c>
      <x:c r="M70" s="32" t="str">
        <x:v>☐</x:v>
      </x:c>
      <x:c r="N70" s="32" t="str">
        <x:v>Review comments</x:v>
      </x:c>
      <x:c r="O70" s="32" t="str">
        <x:v>No</x:v>
      </x:c>
      <x:c r="P70" s="32" t="str"/>
      <x:c r="Q70" s="32" t="str"/>
      <x:c r="R70" s="32" t="str">
        <x:v>Project folder export</x:v>
      </x:c>
      <x:c r="S70" s="32" t="str">
        <x:v>Kenny</x:v>
      </x:c>
      <x:c r="T70" s="40" t="n">
        <x:f>IF($M70="☑",1,IF($L70="In Progress",0.5,0))</x:f>
        <x:v>0</x:v>
      </x:c>
      <x:c r="U70" s="32" t="n">
        <x:f>IF($J70="","",$J70-TODAY())</x:f>
        <x:v>21</x:v>
      </x:c>
    </x:row>
    <x:row r="71">
      <x:c r="A71" s="32" t="str">
        <x:v>T067</x:v>
      </x:c>
      <x:c r="B71" s="36" t="n">
        <x:v>46213</x:v>
      </x:c>
      <x:c r="C71" s="32" t="str">
        <x:v>W28</x:v>
      </x:c>
      <x:c r="D71" s="32" t="str">
        <x:v>13. Design Freeze</x:v>
      </x:c>
      <x:c r="E71" s="32" t="str">
        <x:v>Design Freeze v1 + build handoff</x:v>
      </x:c>
      <x:c r="F71" s="32" t="str">
        <x:v>Evening / focused block</x:v>
      </x:c>
      <x:c r="G71" s="32" t="str">
        <x:v>Complete the go/no-go checklist and record evidence for every P0 criterion.</x:v>
      </x:c>
      <x:c r="H71" s="32" t="str">
        <x:v>Gate 1 signed off</x:v>
      </x:c>
      <x:c r="I71" s="38" t="n">
        <x:v>1</x:v>
      </x:c>
      <x:c r="J71" s="36" t="n">
        <x:v>46213</x:v>
      </x:c>
      <x:c r="K71" s="32" t="str">
        <x:v>P0 Critical</x:v>
      </x:c>
      <x:c r="L71" s="32" t="str">
        <x:v>Not Started</x:v>
      </x:c>
      <x:c r="M71" s="32" t="str">
        <x:v>☐</x:v>
      </x:c>
      <x:c r="N71" s="32" t="str">
        <x:v>Design Pack v1.1</x:v>
      </x:c>
      <x:c r="O71" s="32" t="str">
        <x:v>Yes</x:v>
      </x:c>
      <x:c r="P71" s="32" t="str">
        <x:v>Build now, revise, or pause?</x:v>
      </x:c>
      <x:c r="Q71" s="32" t="str"/>
      <x:c r="R71" s="32" t="str">
        <x:v>Build Readiness Gate sheet</x:v>
      </x:c>
      <x:c r="S71" s="32" t="str">
        <x:v>Kenny</x:v>
      </x:c>
      <x:c r="T71" s="40" t="n">
        <x:f>IF($M71="☑",1,IF($L71="In Progress",0.5,0))</x:f>
        <x:v>0</x:v>
      </x:c>
      <x:c r="U71" s="32" t="n">
        <x:f>IF($J71="","",$J71-TODAY())</x:f>
        <x:v>22</x:v>
      </x:c>
    </x:row>
    <x:row r="72">
      <x:c r="A72" s="32" t="str">
        <x:v>T068</x:v>
      </x:c>
      <x:c r="B72" s="36" t="n">
        <x:v>46213</x:v>
      </x:c>
      <x:c r="C72" s="32" t="str">
        <x:v>W28</x:v>
      </x:c>
      <x:c r="D72" s="32" t="str">
        <x:v>13. Design Freeze</x:v>
      </x:c>
      <x:c r="E72" s="32" t="str">
        <x:v>Design Freeze v1 + build handoff</x:v>
      </x:c>
      <x:c r="F72" s="32" t="str">
        <x:v>Evening / focused block</x:v>
      </x:c>
      <x:c r="G72" s="32" t="str">
        <x:v>Back up files and tag Design Freeze v1: CAD, drawings, simulation logs, BOM, risk register.</x:v>
      </x:c>
      <x:c r="H72" s="32" t="str">
        <x:v>Version tag + backup</x:v>
      </x:c>
      <x:c r="I72" s="38" t="n">
        <x:v>0.5</x:v>
      </x:c>
      <x:c r="J72" s="36" t="n">
        <x:v>46213</x:v>
      </x:c>
      <x:c r="K72" s="32" t="str">
        <x:v>P0 Critical</x:v>
      </x:c>
      <x:c r="L72" s="32" t="str">
        <x:v>Not Started</x:v>
      </x:c>
      <x:c r="M72" s="32" t="str">
        <x:v>☐</x:v>
      </x:c>
      <x:c r="N72" s="32" t="str">
        <x:v>Gate 1 decision</x:v>
      </x:c>
      <x:c r="O72" s="32" t="str">
        <x:v>No</x:v>
      </x:c>
      <x:c r="P72" s="32" t="str"/>
      <x:c r="Q72" s="32" t="str"/>
      <x:c r="R72" s="32" t="str">
        <x:v>Project folder</x:v>
      </x:c>
      <x:c r="S72" s="32" t="str">
        <x:v>Kenny</x:v>
      </x:c>
      <x:c r="T72" s="40" t="n">
        <x:f>IF($M72="☑",1,IF($L72="In Progress",0.5,0))</x:f>
        <x:v>0</x:v>
      </x:c>
      <x:c r="U72" s="32" t="n">
        <x:f>IF($J72="","",$J72-TODAY())</x:f>
        <x:v>22</x:v>
      </x:c>
    </x:row>
    <x:row r="73">
      <x:c r="A73" s="32" t="str">
        <x:v>T069</x:v>
      </x:c>
      <x:c r="B73" s="36" t="n">
        <x:v>46213</x:v>
      </x:c>
      <x:c r="C73" s="32" t="str">
        <x:v>W28</x:v>
      </x:c>
      <x:c r="D73" s="32" t="str">
        <x:v>13. Design Freeze</x:v>
      </x:c>
      <x:c r="E73" s="32" t="str">
        <x:v>Design Freeze v1 + build handoff</x:v>
      </x:c>
      <x:c r="F73" s="32" t="str">
        <x:v>Evening / focused block</x:v>
      </x:c>
      <x:c r="G73" s="32" t="str">
        <x:v>Prepare build board and private build-log backlog; do not launch public updates until build starts and risk is controlled.</x:v>
      </x:c>
      <x:c r="H73" s="32" t="str">
        <x:v>Build phase board ready</x:v>
      </x:c>
      <x:c r="I73" s="38" t="n">
        <x:v>0.8</x:v>
      </x:c>
      <x:c r="J73" s="36" t="n">
        <x:v>46213</x:v>
      </x:c>
      <x:c r="K73" s="32" t="str">
        <x:v>P2 Medium</x:v>
      </x:c>
      <x:c r="L73" s="32" t="str">
        <x:v>Not Started</x:v>
      </x:c>
      <x:c r="M73" s="32" t="str">
        <x:v>☐</x:v>
      </x:c>
      <x:c r="N73" s="32" t="str">
        <x:v>Design Freeze</x:v>
      </x:c>
      <x:c r="O73" s="32" t="str">
        <x:v>No</x:v>
      </x:c>
      <x:c r="P73" s="32" t="str"/>
      <x:c r="Q73" s="32" t="str"/>
      <x:c r="R73" s="32" t="str">
        <x:v>Build in Public Later sheet</x:v>
      </x:c>
      <x:c r="S73" s="32" t="str">
        <x:v>Kenny</x:v>
      </x:c>
      <x:c r="T73" s="40" t="n">
        <x:f>IF($M73="☑",1,IF($L73="In Progress",0.5,0))</x:f>
        <x:v>0</x:v>
      </x:c>
      <x:c r="U73" s="32" t="n">
        <x:f>IF($J73="","",$J73-TODAY())</x:f>
        <x:v>22</x:v>
      </x:c>
    </x:row>
    <x:row r="74">
      <x:c r="A74" s="32" t="str">
        <x:v>T070</x:v>
      </x:c>
      <x:c r="B74" s="36" t="n">
        <x:v>46214</x:v>
      </x:c>
      <x:c r="C74" s="32" t="str">
        <x:v>W28</x:v>
      </x:c>
      <x:c r="D74" s="32" t="str">
        <x:v>14. Build Prep</x:v>
      </x:c>
      <x:c r="E74" s="32" t="str">
        <x:v>Workspace + material pickup</x:v>
      </x:c>
      <x:c r="F74" s="32" t="str">
        <x:v>Weekend build block</x:v>
      </x:c>
      <x:c r="G74" s="32" t="str">
        <x:v>Clear workspace, set up PPE, extension leads, storage bins, and safe cutting/assembly zones.</x:v>
      </x:c>
      <x:c r="H74" s="32" t="str">
        <x:v>Workshop ready</x:v>
      </x:c>
      <x:c r="I74" s="38" t="n">
        <x:v>2</x:v>
      </x:c>
      <x:c r="J74" s="36" t="n">
        <x:v>46214</x:v>
      </x:c>
      <x:c r="K74" s="32" t="str">
        <x:v>P0 Critical</x:v>
      </x:c>
      <x:c r="L74" s="32" t="str">
        <x:v>Not Started</x:v>
      </x:c>
      <x:c r="M74" s="32" t="str">
        <x:v>☐</x:v>
      </x:c>
      <x:c r="N74" s="32" t="str">
        <x:v>Design Freeze</x:v>
      </x:c>
      <x:c r="O74" s="32" t="str">
        <x:v>No</x:v>
      </x:c>
      <x:c r="P74" s="32" t="str"/>
      <x:c r="Q74" s="32" t="str"/>
      <x:c r="R74" s="32" t="str">
        <x:v>Tool/PPE checklist</x:v>
      </x:c>
      <x:c r="S74" s="32" t="str">
        <x:v>Kenny</x:v>
      </x:c>
      <x:c r="T74" s="40" t="n">
        <x:f>IF($M74="☑",1,IF($L74="In Progress",0.5,0))</x:f>
        <x:v>0</x:v>
      </x:c>
      <x:c r="U74" s="32" t="n">
        <x:f>IF($J74="","",$J74-TODAY())</x:f>
        <x:v>23</x:v>
      </x:c>
    </x:row>
    <x:row r="75">
      <x:c r="A75" s="32" t="str">
        <x:v>T071</x:v>
      </x:c>
      <x:c r="B75" s="36" t="n">
        <x:v>46214</x:v>
      </x:c>
      <x:c r="C75" s="32" t="str">
        <x:v>W28</x:v>
      </x:c>
      <x:c r="D75" s="32" t="str">
        <x:v>14. Build Prep</x:v>
      </x:c>
      <x:c r="E75" s="32" t="str">
        <x:v>Workspace + material pickup</x:v>
      </x:c>
      <x:c r="F75" s="32" t="str">
        <x:v>Weekend build block</x:v>
      </x:c>
      <x:c r="G75" s="32" t="str">
        <x:v>Buy or reserve first-round materials: ply/steel/fasteners/adhesive/correx/foam.</x:v>
      </x:c>
      <x:c r="H75" s="32" t="str">
        <x:v>Materials batch 1</x:v>
      </x:c>
      <x:c r="I75" s="38" t="n">
        <x:v>2</x:v>
      </x:c>
      <x:c r="J75" s="36" t="n">
        <x:v>46214</x:v>
      </x:c>
      <x:c r="K75" s="32" t="str">
        <x:v>P1 High</x:v>
      </x:c>
      <x:c r="L75" s="32" t="str">
        <x:v>Not Started</x:v>
      </x:c>
      <x:c r="M75" s="32" t="str">
        <x:v>☐</x:v>
      </x:c>
      <x:c r="N75" s="32" t="str">
        <x:v>BOM v1</x:v>
      </x:c>
      <x:c r="O75" s="32" t="str">
        <x:v>No</x:v>
      </x:c>
      <x:c r="P75" s="32" t="str"/>
      <x:c r="Q75" s="32" t="str"/>
      <x:c r="R75" s="32" t="str">
        <x:v>BOM v1</x:v>
      </x:c>
      <x:c r="S75" s="32" t="str">
        <x:v>Kenny</x:v>
      </x:c>
      <x:c r="T75" s="40" t="n">
        <x:f>IF($M75="☑",1,IF($L75="In Progress",0.5,0))</x:f>
        <x:v>0</x:v>
      </x:c>
      <x:c r="U75" s="32" t="n">
        <x:f>IF($J75="","",$J75-TODAY())</x:f>
        <x:v>23</x:v>
      </x:c>
    </x:row>
    <x:row r="76">
      <x:c r="A76" s="32" t="str">
        <x:v>T072</x:v>
      </x:c>
      <x:c r="B76" s="36" t="n">
        <x:v>46214</x:v>
      </x:c>
      <x:c r="C76" s="32" t="str">
        <x:v>W28</x:v>
      </x:c>
      <x:c r="D76" s="32" t="str">
        <x:v>14. Build Prep</x:v>
      </x:c>
      <x:c r="E76" s="32" t="str">
        <x:v>Workspace + material pickup</x:v>
      </x:c>
      <x:c r="F76" s="32" t="str">
        <x:v>Weekend build block</x:v>
      </x:c>
      <x:c r="G76" s="32" t="str">
        <x:v>Start private photo log: before-build baseline, materials, workspace setup.</x:v>
      </x:c>
      <x:c r="H76" s="32" t="str">
        <x:v>Private build log started</x:v>
      </x:c>
      <x:c r="I76" s="38" t="n">
        <x:v>0.4</x:v>
      </x:c>
      <x:c r="J76" s="36" t="n">
        <x:v>46214</x:v>
      </x:c>
      <x:c r="K76" s="32" t="str">
        <x:v>P3 Low</x:v>
      </x:c>
      <x:c r="L76" s="32" t="str">
        <x:v>Not Started</x:v>
      </x:c>
      <x:c r="M76" s="32" t="str">
        <x:v>☐</x:v>
      </x:c>
      <x:c r="N76" s="32" t="str">
        <x:v>Design Freeze</x:v>
      </x:c>
      <x:c r="O76" s="32" t="str">
        <x:v>No</x:v>
      </x:c>
      <x:c r="P76" s="32" t="str"/>
      <x:c r="Q76" s="32" t="str"/>
      <x:c r="R76" s="32" t="str">
        <x:v>Build in Public Later</x:v>
      </x:c>
      <x:c r="S76" s="32" t="str">
        <x:v>Kenny</x:v>
      </x:c>
      <x:c r="T76" s="40" t="n">
        <x:f>IF($M76="☑",1,IF($L76="In Progress",0.5,0))</x:f>
        <x:v>0</x:v>
      </x:c>
      <x:c r="U76" s="32" t="n">
        <x:f>IF($J76="","",$J76-TODAY())</x:f>
        <x:v>23</x:v>
      </x:c>
    </x:row>
    <x:row r="77">
      <x:c r="A77" s="32" t="str">
        <x:v>T073</x:v>
      </x:c>
      <x:c r="B77" s="36" t="n">
        <x:v>46215</x:v>
      </x:c>
      <x:c r="C77" s="32" t="str">
        <x:v>W28</x:v>
      </x:c>
      <x:c r="D77" s="32" t="str">
        <x:v>14. Build Prep</x:v>
      </x:c>
      <x:c r="E77" s="32" t="str">
        <x:v>Donor parts inspection</x:v>
      </x:c>
      <x:c r="F77" s="32" t="str">
        <x:v>Weekend build block</x:v>
      </x:c>
      <x:c r="G77" s="32" t="str">
        <x:v>Inspect donor kart/front-end candidates; check play, cracks, bent axles, bearing drag, and steering smoothness.</x:v>
      </x:c>
      <x:c r="H77" s="32" t="str">
        <x:v>Donor inspection notes</x:v>
      </x:c>
      <x:c r="I77" s="38" t="n">
        <x:v>2</x:v>
      </x:c>
      <x:c r="J77" s="36" t="n">
        <x:v>46215</x:v>
      </x:c>
      <x:c r="K77" s="32" t="str">
        <x:v>P0 Critical</x:v>
      </x:c>
      <x:c r="L77" s="32" t="str">
        <x:v>Not Started</x:v>
      </x:c>
      <x:c r="M77" s="32" t="str">
        <x:v>☐</x:v>
      </x:c>
      <x:c r="N77" s="32" t="str">
        <x:v>Procurement shortlist</x:v>
      </x:c>
      <x:c r="O77" s="32" t="str">
        <x:v>Yes</x:v>
      </x:c>
      <x:c r="P77" s="32" t="str">
        <x:v>Buy donor now or keep searching?</x:v>
      </x:c>
      <x:c r="Q77" s="32" t="str"/>
      <x:c r="R77" s="32" t="str">
        <x:v>Marketplace / donor kart</x:v>
      </x:c>
      <x:c r="S77" s="32" t="str">
        <x:v>Kenny</x:v>
      </x:c>
      <x:c r="T77" s="40" t="n">
        <x:f>IF($M77="☑",1,IF($L77="In Progress",0.5,0))</x:f>
        <x:v>0</x:v>
      </x:c>
      <x:c r="U77" s="32" t="n">
        <x:f>IF($J77="","",$J77-TODAY())</x:f>
        <x:v>24</x:v>
      </x:c>
    </x:row>
    <x:row r="78">
      <x:c r="A78" s="32" t="str">
        <x:v>T074</x:v>
      </x:c>
      <x:c r="B78" s="36" t="n">
        <x:v>46215</x:v>
      </x:c>
      <x:c r="C78" s="32" t="str">
        <x:v>W28</x:v>
      </x:c>
      <x:c r="D78" s="32" t="str">
        <x:v>14. Build Prep</x:v>
      </x:c>
      <x:c r="E78" s="32" t="str">
        <x:v>Donor parts inspection</x:v>
      </x:c>
      <x:c r="F78" s="32" t="str">
        <x:v>Weekend build block</x:v>
      </x:c>
      <x:c r="G78" s="32" t="str">
        <x:v>Create parts-cleaning and bearing-service list.</x:v>
      </x:c>
      <x:c r="H78" s="32" t="str">
        <x:v>Parts service list</x:v>
      </x:c>
      <x:c r="I78" s="38" t="n">
        <x:v>1</x:v>
      </x:c>
      <x:c r="J78" s="36" t="n">
        <x:v>46215</x:v>
      </x:c>
      <x:c r="K78" s="32" t="str">
        <x:v>P1 High</x:v>
      </x:c>
      <x:c r="L78" s="32" t="str">
        <x:v>Not Started</x:v>
      </x:c>
      <x:c r="M78" s="32" t="str">
        <x:v>☐</x:v>
      </x:c>
      <x:c r="N78" s="32" t="str">
        <x:v>Donor inspection</x:v>
      </x:c>
      <x:c r="O78" s="32" t="str">
        <x:v>No</x:v>
      </x:c>
      <x:c r="P78" s="32" t="str"/>
      <x:c r="Q78" s="32" t="str"/>
      <x:c r="R78" s="32" t="str">
        <x:v>Workshop notes</x:v>
      </x:c>
      <x:c r="S78" s="32" t="str">
        <x:v>Kenny</x:v>
      </x:c>
      <x:c r="T78" s="40" t="n">
        <x:f>IF($M78="☑",1,IF($L78="In Progress",0.5,0))</x:f>
        <x:v>0</x:v>
      </x:c>
      <x:c r="U78" s="32" t="n">
        <x:f>IF($J78="","",$J78-TODAY())</x:f>
        <x:v>24</x:v>
      </x:c>
    </x:row>
    <x:row r="79">
      <x:c r="A79" s="32" t="str">
        <x:v>T075</x:v>
      </x:c>
      <x:c r="B79" s="36" t="n">
        <x:v>46216</x:v>
      </x:c>
      <x:c r="C79" s="32" t="str">
        <x:v>W29</x:v>
      </x:c>
      <x:c r="D79" s="32" t="str">
        <x:v>14. Build Prep</x:v>
      </x:c>
      <x:c r="E79" s="32" t="str">
        <x:v>Cutting templates</x:v>
      </x:c>
      <x:c r="F79" s="32" t="str">
        <x:v>Evening / focused block</x:v>
      </x:c>
      <x:c r="G79" s="32" t="str">
        <x:v>Print or draw full-scale chassis/floor template on cardboard/ply; mark centreline and axle lines.</x:v>
      </x:c>
      <x:c r="H79" s="32" t="str">
        <x:v>Full-scale template</x:v>
      </x:c>
      <x:c r="I79" s="38" t="n">
        <x:v>1.2</x:v>
      </x:c>
      <x:c r="J79" s="36" t="n">
        <x:v>46216</x:v>
      </x:c>
      <x:c r="K79" s="32" t="str">
        <x:v>P0 Critical</x:v>
      </x:c>
      <x:c r="L79" s="32" t="str">
        <x:v>Not Started</x:v>
      </x:c>
      <x:c r="M79" s="32" t="str">
        <x:v>☐</x:v>
      </x:c>
      <x:c r="N79" s="32" t="str">
        <x:v>Drawings v1</x:v>
      </x:c>
      <x:c r="O79" s="32" t="str">
        <x:v>No</x:v>
      </x:c>
      <x:c r="P79" s="32" t="str"/>
      <x:c r="Q79" s="32" t="str"/>
      <x:c r="R79" s="32" t="str">
        <x:v>Build drawings</x:v>
      </x:c>
      <x:c r="S79" s="32" t="str">
        <x:v>Kenny</x:v>
      </x:c>
      <x:c r="T79" s="40" t="n">
        <x:f>IF($M79="☑",1,IF($L79="In Progress",0.5,0))</x:f>
        <x:v>0</x:v>
      </x:c>
      <x:c r="U79" s="32" t="n">
        <x:f>IF($J79="","",$J79-TODAY())</x:f>
        <x:v>25</x:v>
      </x:c>
    </x:row>
    <x:row r="80">
      <x:c r="A80" s="32" t="str">
        <x:v>T076</x:v>
      </x:c>
      <x:c r="B80" s="36" t="n">
        <x:v>46216</x:v>
      </x:c>
      <x:c r="C80" s="32" t="str">
        <x:v>W29</x:v>
      </x:c>
      <x:c r="D80" s="32" t="str">
        <x:v>14. Build Prep</x:v>
      </x:c>
      <x:c r="E80" s="32" t="str">
        <x:v>Cutting templates</x:v>
      </x:c>
      <x:c r="F80" s="32" t="str">
        <x:v>Evening / focused block</x:v>
      </x:c>
      <x:c r="G80" s="32" t="str">
        <x:v>Review fastener sizes, washers, locknuts, bracket/gusset quantities.</x:v>
      </x:c>
      <x:c r="H80" s="32" t="str">
        <x:v>Fastener checklist</x:v>
      </x:c>
      <x:c r="I80" s="38" t="n">
        <x:v>0.8</x:v>
      </x:c>
      <x:c r="J80" s="36" t="n">
        <x:v>46216</x:v>
      </x:c>
      <x:c r="K80" s="32" t="str">
        <x:v>P1 High</x:v>
      </x:c>
      <x:c r="L80" s="32" t="str">
        <x:v>Not Started</x:v>
      </x:c>
      <x:c r="M80" s="32" t="str">
        <x:v>☐</x:v>
      </x:c>
      <x:c r="N80" s="32" t="str">
        <x:v>BOM v1</x:v>
      </x:c>
      <x:c r="O80" s="32" t="str">
        <x:v>No</x:v>
      </x:c>
      <x:c r="P80" s="32" t="str"/>
      <x:c r="Q80" s="32" t="str"/>
      <x:c r="R80" s="32" t="str">
        <x:v>BOM</x:v>
      </x:c>
      <x:c r="S80" s="32" t="str">
        <x:v>Kenny</x:v>
      </x:c>
      <x:c r="T80" s="40" t="n">
        <x:f>IF($M80="☑",1,IF($L80="In Progress",0.5,0))</x:f>
        <x:v>0</x:v>
      </x:c>
      <x:c r="U80" s="32" t="n">
        <x:f>IF($J80="","",$J80-TODAY())</x:f>
        <x:v>25</x:v>
      </x:c>
    </x:row>
    <x:row r="81">
      <x:c r="A81" s="32" t="str">
        <x:v>T077</x:v>
      </x:c>
      <x:c r="B81" s="36" t="n">
        <x:v>46217</x:v>
      </x:c>
      <x:c r="C81" s="32" t="str">
        <x:v>W29</x:v>
      </x:c>
      <x:c r="D81" s="32" t="str">
        <x:v>14. Build Prep</x:v>
      </x:c>
      <x:c r="E81" s="32" t="str">
        <x:v>Sponsor/team parallel track</x:v>
      </x:c>
      <x:c r="F81" s="32" t="str">
        <x:v>Evening / focused block</x:v>
      </x:c>
      <x:c r="G81" s="32" t="str">
        <x:v>Send sponsor outreach batch 1 with concept image, ask, and non-guaranteed approval caveat.</x:v>
      </x:c>
      <x:c r="H81" s="32" t="str">
        <x:v>Sponsor outreach sent</x:v>
      </x:c>
      <x:c r="I81" s="38" t="n">
        <x:v>1</x:v>
      </x:c>
      <x:c r="J81" s="36" t="n">
        <x:v>46217</x:v>
      </x:c>
      <x:c r="K81" s="32" t="str">
        <x:v>P1 High</x:v>
      </x:c>
      <x:c r="L81" s="32" t="str">
        <x:v>Not Started</x:v>
      </x:c>
      <x:c r="M81" s="32" t="str">
        <x:v>☐</x:v>
      </x:c>
      <x:c r="N81" s="32" t="str">
        <x:v>Design Pack</x:v>
      </x:c>
      <x:c r="O81" s="32" t="str">
        <x:v>No</x:v>
      </x:c>
      <x:c r="P81" s="32" t="str"/>
      <x:c r="Q81" s="32" t="str"/>
      <x:c r="R81" s="32" t="str">
        <x:v>Sponsor tracker</x:v>
      </x:c>
      <x:c r="S81" s="32" t="str">
        <x:v>Kenny</x:v>
      </x:c>
      <x:c r="T81" s="40" t="n">
        <x:f>IF($M81="☑",1,IF($L81="In Progress",0.5,0))</x:f>
        <x:v>0</x:v>
      </x:c>
      <x:c r="U81" s="32" t="n">
        <x:f>IF($J81="","",$J81-TODAY())</x:f>
        <x:v>26</x:v>
      </x:c>
    </x:row>
    <x:row r="82">
      <x:c r="A82" s="32" t="str">
        <x:v>T078</x:v>
      </x:c>
      <x:c r="B82" s="36" t="n">
        <x:v>46217</x:v>
      </x:c>
      <x:c r="C82" s="32" t="str">
        <x:v>W29</x:v>
      </x:c>
      <x:c r="D82" s="32" t="str">
        <x:v>14. Build Prep</x:v>
      </x:c>
      <x:c r="E82" s="32" t="str">
        <x:v>Sponsor/team parallel track</x:v>
      </x:c>
      <x:c r="F82" s="32" t="str">
        <x:v>Evening / focused block</x:v>
      </x:c>
      <x:c r="G82" s="32" t="str">
        <x:v>Follow up with potential teammates; assign provisional roles even if people are part-time.</x:v>
      </x:c>
      <x:c r="H82" s="32" t="str">
        <x:v>Role map v0</x:v>
      </x:c>
      <x:c r="I82" s="38" t="n">
        <x:v>0.8</x:v>
      </x:c>
      <x:c r="J82" s="36" t="n">
        <x:v>46217</x:v>
      </x:c>
      <x:c r="K82" s="32" t="str">
        <x:v>P1 High</x:v>
      </x:c>
      <x:c r="L82" s="32" t="str">
        <x:v>Not Started</x:v>
      </x:c>
      <x:c r="M82" s="32" t="str">
        <x:v>☐</x:v>
      </x:c>
      <x:c r="N82" s="32" t="str">
        <x:v>Recruitment message</x:v>
      </x:c>
      <x:c r="O82" s="32" t="str">
        <x:v>Yes</x:v>
      </x:c>
      <x:c r="P82" s="32" t="str">
        <x:v>Who owns build, CAD updates, procurement, and performance?</x:v>
      </x:c>
      <x:c r="Q82" s="32" t="str"/>
      <x:c r="R82" s="32" t="str">
        <x:v>Team notes</x:v>
      </x:c>
      <x:c r="S82" s="32" t="str">
        <x:v>Kenny</x:v>
      </x:c>
      <x:c r="T82" s="40" t="n">
        <x:f>IF($M82="☑",1,IF($L82="In Progress",0.5,0))</x:f>
        <x:v>0</x:v>
      </x:c>
      <x:c r="U82" s="32" t="n">
        <x:f>IF($J82="","",$J82-TODAY())</x:f>
        <x:v>26</x:v>
      </x:c>
    </x:row>
    <x:row r="83">
      <x:c r="A83" s="32" t="str">
        <x:v>T079</x:v>
      </x:c>
      <x:c r="B83" s="36" t="n">
        <x:v>46218</x:v>
      </x:c>
      <x:c r="C83" s="32" t="str">
        <x:v>W29</x:v>
      </x:c>
      <x:c r="D83" s="32" t="str">
        <x:v>15. Rolling Chassis</x:v>
      </x:c>
      <x:c r="E83" s="32" t="str">
        <x:v>Frame cutting prep</x:v>
      </x:c>
      <x:c r="F83" s="32" t="str">
        <x:v>Evening / focused block</x:v>
      </x:c>
      <x:c r="G83" s="32" t="str">
        <x:v>Mark and cut non-critical floor/chassis pieces first; leave safety-critical brackets until parts are confirmed.</x:v>
      </x:c>
      <x:c r="H83" s="32" t="str">
        <x:v>Cut pieces batch 1</x:v>
      </x:c>
      <x:c r="I83" s="38" t="n">
        <x:v>1.5</x:v>
      </x:c>
      <x:c r="J83" s="36" t="n">
        <x:v>46218</x:v>
      </x:c>
      <x:c r="K83" s="32" t="str">
        <x:v>P0 Critical</x:v>
      </x:c>
      <x:c r="L83" s="32" t="str">
        <x:v>Not Started</x:v>
      </x:c>
      <x:c r="M83" s="32" t="str">
        <x:v>☐</x:v>
      </x:c>
      <x:c r="N83" s="32" t="str">
        <x:v>Template</x:v>
      </x:c>
      <x:c r="O83" s="32" t="str">
        <x:v>No</x:v>
      </x:c>
      <x:c r="P83" s="32" t="str"/>
      <x:c r="Q83" s="32" t="str"/>
      <x:c r="R83" s="32" t="str">
        <x:v>Workshop</x:v>
      </x:c>
      <x:c r="S83" s="32" t="str">
        <x:v>Kenny</x:v>
      </x:c>
      <x:c r="T83" s="40" t="n">
        <x:f>IF($M83="☑",1,IF($L83="In Progress",0.5,0))</x:f>
        <x:v>0</x:v>
      </x:c>
      <x:c r="U83" s="32" t="n">
        <x:f>IF($J83="","",$J83-TODAY())</x:f>
        <x:v>27</x:v>
      </x:c>
    </x:row>
    <x:row r="84">
      <x:c r="A84" s="32" t="str">
        <x:v>T080</x:v>
      </x:c>
      <x:c r="B84" s="36" t="n">
        <x:v>46218</x:v>
      </x:c>
      <x:c r="C84" s="32" t="str">
        <x:v>W29</x:v>
      </x:c>
      <x:c r="D84" s="32" t="str">
        <x:v>15. Rolling Chassis</x:v>
      </x:c>
      <x:c r="E84" s="32" t="str">
        <x:v>Frame cutting prep</x:v>
      </x:c>
      <x:c r="F84" s="32" t="str">
        <x:v>Evening / focused block</x:v>
      </x:c>
      <x:c r="G84" s="32" t="str">
        <x:v>Dry-fit chassis pieces on flat floor; check diagonals and symmetry.</x:v>
      </x:c>
      <x:c r="H84" s="32" t="str">
        <x:v>Dry-fit check</x:v>
      </x:c>
      <x:c r="I84" s="38" t="n">
        <x:v>0.8</x:v>
      </x:c>
      <x:c r="J84" s="36" t="n">
        <x:v>46218</x:v>
      </x:c>
      <x:c r="K84" s="32" t="str">
        <x:v>P0 Critical</x:v>
      </x:c>
      <x:c r="L84" s="32" t="str">
        <x:v>Not Started</x:v>
      </x:c>
      <x:c r="M84" s="32" t="str">
        <x:v>☐</x:v>
      </x:c>
      <x:c r="N84" s="32" t="str">
        <x:v>Cut pieces</x:v>
      </x:c>
      <x:c r="O84" s="32" t="str">
        <x:v>No</x:v>
      </x:c>
      <x:c r="P84" s="32" t="str"/>
      <x:c r="Q84" s="32" t="str"/>
      <x:c r="R84" s="32" t="str">
        <x:v>Workshop</x:v>
      </x:c>
      <x:c r="S84" s="32" t="str">
        <x:v>Kenny</x:v>
      </x:c>
      <x:c r="T84" s="40" t="n">
        <x:f>IF($M84="☑",1,IF($L84="In Progress",0.5,0))</x:f>
        <x:v>0</x:v>
      </x:c>
      <x:c r="U84" s="32" t="n">
        <x:f>IF($J84="","",$J84-TODAY())</x:f>
        <x:v>27</x:v>
      </x:c>
    </x:row>
    <x:row r="85">
      <x:c r="A85" s="32" t="str">
        <x:v>T081</x:v>
      </x:c>
      <x:c r="B85" s="36" t="n">
        <x:v>46219</x:v>
      </x:c>
      <x:c r="C85" s="32" t="str">
        <x:v>W29</x:v>
      </x:c>
      <x:c r="D85" s="32" t="str">
        <x:v>15. Rolling Chassis</x:v>
      </x:c>
      <x:c r="E85" s="32" t="str">
        <x:v>Frame assembly 1</x:v>
      </x:c>
      <x:c r="F85" s="32" t="str">
        <x:v>Evening / focused block</x:v>
      </x:c>
      <x:c r="G85" s="32" t="str">
        <x:v>Bolt/glue/screw chassis base using temporary clamps; measure diagonals before tightening.</x:v>
      </x:c>
      <x:c r="H85" s="32" t="str">
        <x:v>Base frame assembly</x:v>
      </x:c>
      <x:c r="I85" s="38" t="n">
        <x:v>1.5</x:v>
      </x:c>
      <x:c r="J85" s="36" t="n">
        <x:v>46219</x:v>
      </x:c>
      <x:c r="K85" s="32" t="str">
        <x:v>P0 Critical</x:v>
      </x:c>
      <x:c r="L85" s="32" t="str">
        <x:v>Not Started</x:v>
      </x:c>
      <x:c r="M85" s="32" t="str">
        <x:v>☐</x:v>
      </x:c>
      <x:c r="N85" s="32" t="str">
        <x:v>Dry-fit</x:v>
      </x:c>
      <x:c r="O85" s="32" t="str">
        <x:v>No</x:v>
      </x:c>
      <x:c r="P85" s="32" t="str"/>
      <x:c r="Q85" s="32" t="str"/>
      <x:c r="R85" s="32" t="str">
        <x:v>Workshop</x:v>
      </x:c>
      <x:c r="S85" s="32" t="str">
        <x:v>Kenny</x:v>
      </x:c>
      <x:c r="T85" s="40" t="n">
        <x:f>IF($M85="☑",1,IF($L85="In Progress",0.5,0))</x:f>
        <x:v>0</x:v>
      </x:c>
      <x:c r="U85" s="32" t="n">
        <x:f>IF($J85="","",$J85-TODAY())</x:f>
        <x:v>28</x:v>
      </x:c>
    </x:row>
    <x:row r="86">
      <x:c r="A86" s="32" t="str">
        <x:v>T082</x:v>
      </x:c>
      <x:c r="B86" s="36" t="n">
        <x:v>46219</x:v>
      </x:c>
      <x:c r="C86" s="32" t="str">
        <x:v>W29</x:v>
      </x:c>
      <x:c r="D86" s="32" t="str">
        <x:v>15. Rolling Chassis</x:v>
      </x:c>
      <x:c r="E86" s="32" t="str">
        <x:v>Frame assembly 1</x:v>
      </x:c>
      <x:c r="F86" s="32" t="str">
        <x:v>Evening / focused block</x:v>
      </x:c>
      <x:c r="G86" s="32" t="str">
        <x:v>Add initial cross-bracing and mark locations for axle mounts.</x:v>
      </x:c>
      <x:c r="H86" s="32" t="str">
        <x:v>Cross-bracing marked</x:v>
      </x:c>
      <x:c r="I86" s="38" t="n">
        <x:v>0.8</x:v>
      </x:c>
      <x:c r="J86" s="36" t="n">
        <x:v>46219</x:v>
      </x:c>
      <x:c r="K86" s="32" t="str">
        <x:v>P0 Critical</x:v>
      </x:c>
      <x:c r="L86" s="32" t="str">
        <x:v>Not Started</x:v>
      </x:c>
      <x:c r="M86" s="32" t="str">
        <x:v>☐</x:v>
      </x:c>
      <x:c r="N86" s="32" t="str">
        <x:v>Base frame</x:v>
      </x:c>
      <x:c r="O86" s="32" t="str">
        <x:v>No</x:v>
      </x:c>
      <x:c r="P86" s="32" t="str"/>
      <x:c r="Q86" s="32" t="str"/>
      <x:c r="R86" s="32" t="str">
        <x:v>Build drawings</x:v>
      </x:c>
      <x:c r="S86" s="32" t="str">
        <x:v>Kenny</x:v>
      </x:c>
      <x:c r="T86" s="40" t="n">
        <x:f>IF($M86="☑",1,IF($L86="In Progress",0.5,0))</x:f>
        <x:v>0</x:v>
      </x:c>
      <x:c r="U86" s="32" t="n">
        <x:f>IF($J86="","",$J86-TODAY())</x:f>
        <x:v>28</x:v>
      </x:c>
    </x:row>
    <x:row r="87">
      <x:c r="A87" s="32" t="str">
        <x:v>T083</x:v>
      </x:c>
      <x:c r="B87" s="36" t="n">
        <x:v>46220</x:v>
      </x:c>
      <x:c r="C87" s="32" t="str">
        <x:v>W29</x:v>
      </x:c>
      <x:c r="D87" s="32" t="str">
        <x:v>15. Rolling Chassis</x:v>
      </x:c>
      <x:c r="E87" s="32" t="str">
        <x:v>Axle mount planning</x:v>
      </x:c>
      <x:c r="F87" s="32" t="str">
        <x:v>Evening / focused block</x:v>
      </x:c>
      <x:c r="G87" s="32" t="str">
        <x:v>Position front/rear axle lines on frame and check wheel clearance, toe, and body overhang.</x:v>
      </x:c>
      <x:c r="H87" s="32" t="str">
        <x:v>Axle layout confirmed</x:v>
      </x:c>
      <x:c r="I87" s="38" t="n">
        <x:v>1</x:v>
      </x:c>
      <x:c r="J87" s="36" t="n">
        <x:v>46220</x:v>
      </x:c>
      <x:c r="K87" s="32" t="str">
        <x:v>P0 Critical</x:v>
      </x:c>
      <x:c r="L87" s="32" t="str">
        <x:v>Not Started</x:v>
      </x:c>
      <x:c r="M87" s="32" t="str">
        <x:v>☐</x:v>
      </x:c>
      <x:c r="N87" s="32" t="str">
        <x:v>Base frame</x:v>
      </x:c>
      <x:c r="O87" s="32" t="str">
        <x:v>Yes</x:v>
      </x:c>
      <x:c r="P87" s="32" t="str">
        <x:v>Are axle positions final?</x:v>
      </x:c>
      <x:c r="Q87" s="32" t="str"/>
      <x:c r="R87" s="32" t="str">
        <x:v>Build drawings</x:v>
      </x:c>
      <x:c r="S87" s="32" t="str">
        <x:v>Kenny</x:v>
      </x:c>
      <x:c r="T87" s="40" t="n">
        <x:f>IF($M87="☑",1,IF($L87="In Progress",0.5,0))</x:f>
        <x:v>0</x:v>
      </x:c>
      <x:c r="U87" s="32" t="n">
        <x:f>IF($J87="","",$J87-TODAY())</x:f>
        <x:v>29</x:v>
      </x:c>
    </x:row>
    <x:row r="88">
      <x:c r="A88" s="32" t="str">
        <x:v>T084</x:v>
      </x:c>
      <x:c r="B88" s="36" t="n">
        <x:v>46220</x:v>
      </x:c>
      <x:c r="C88" s="32" t="str">
        <x:v>W29</x:v>
      </x:c>
      <x:c r="D88" s="32" t="str">
        <x:v>15. Rolling Chassis</x:v>
      </x:c>
      <x:c r="E88" s="32" t="str">
        <x:v>Axle mount planning</x:v>
      </x:c>
      <x:c r="F88" s="32" t="str">
        <x:v>Evening / focused block</x:v>
      </x:c>
      <x:c r="G88" s="32" t="str">
        <x:v>Fabricate or mock up axle brackets/gussets with cardboard/ply before metal/wood final.</x:v>
      </x:c>
      <x:c r="H88" s="32" t="str">
        <x:v>Bracket mockups</x:v>
      </x:c>
      <x:c r="I88" s="38" t="n">
        <x:v>1</x:v>
      </x:c>
      <x:c r="J88" s="36" t="n">
        <x:v>46220</x:v>
      </x:c>
      <x:c r="K88" s="32" t="str">
        <x:v>P1 High</x:v>
      </x:c>
      <x:c r="L88" s="32" t="str">
        <x:v>Not Started</x:v>
      </x:c>
      <x:c r="M88" s="32" t="str">
        <x:v>☐</x:v>
      </x:c>
      <x:c r="N88" s="32" t="str">
        <x:v>Axle layout</x:v>
      </x:c>
      <x:c r="O88" s="32" t="str">
        <x:v>No</x:v>
      </x:c>
      <x:c r="P88" s="32" t="str"/>
      <x:c r="Q88" s="32" t="str"/>
      <x:c r="R88" s="32" t="str">
        <x:v>Workshop</x:v>
      </x:c>
      <x:c r="S88" s="32" t="str">
        <x:v>Kenny</x:v>
      </x:c>
      <x:c r="T88" s="40" t="n">
        <x:f>IF($M88="☑",1,IF($L88="In Progress",0.5,0))</x:f>
        <x:v>0</x:v>
      </x:c>
      <x:c r="U88" s="32" t="n">
        <x:f>IF($J88="","",$J88-TODAY())</x:f>
        <x:v>29</x:v>
      </x:c>
    </x:row>
    <x:row r="89">
      <x:c r="A89" s="32" t="str">
        <x:v>T085</x:v>
      </x:c>
      <x:c r="B89" s="36" t="n">
        <x:v>46221</x:v>
      </x:c>
      <x:c r="C89" s="32" t="str">
        <x:v>W29</x:v>
      </x:c>
      <x:c r="D89" s="32" t="str">
        <x:v>15. Rolling Chassis</x:v>
      </x:c>
      <x:c r="E89" s="32" t="str">
        <x:v>Front axle + steering mount</x:v>
      </x:c>
      <x:c r="F89" s="32" t="str">
        <x:v>Weekend build block</x:v>
      </x:c>
      <x:c r="G89" s="32" t="str">
        <x:v>Install/mock front axle and steering column support; avoid looseness or flex.</x:v>
      </x:c>
      <x:c r="H89" s="32" t="str">
        <x:v>Steering mount v0</x:v>
      </x:c>
      <x:c r="I89" s="38" t="n">
        <x:v>2</x:v>
      </x:c>
      <x:c r="J89" s="36" t="n">
        <x:v>46221</x:v>
      </x:c>
      <x:c r="K89" s="32" t="str">
        <x:v>P0 Critical</x:v>
      </x:c>
      <x:c r="L89" s="32" t="str">
        <x:v>Not Started</x:v>
      </x:c>
      <x:c r="M89" s="32" t="str">
        <x:v>☐</x:v>
      </x:c>
      <x:c r="N89" s="32" t="str">
        <x:v>Axle layout</x:v>
      </x:c>
      <x:c r="O89" s="32" t="str">
        <x:v>No</x:v>
      </x:c>
      <x:c r="P89" s="32" t="str"/>
      <x:c r="Q89" s="32" t="str"/>
      <x:c r="R89" s="32" t="str">
        <x:v>Workshop</x:v>
      </x:c>
      <x:c r="S89" s="32" t="str">
        <x:v>Kenny</x:v>
      </x:c>
      <x:c r="T89" s="40" t="n">
        <x:f>IF($M89="☑",1,IF($L89="In Progress",0.5,0))</x:f>
        <x:v>0</x:v>
      </x:c>
      <x:c r="U89" s="32" t="n">
        <x:f>IF($J89="","",$J89-TODAY())</x:f>
        <x:v>30</x:v>
      </x:c>
    </x:row>
    <x:row r="90">
      <x:c r="A90" s="32" t="str">
        <x:v>T086</x:v>
      </x:c>
      <x:c r="B90" s="36" t="n">
        <x:v>46221</x:v>
      </x:c>
      <x:c r="C90" s="32" t="str">
        <x:v>W29</x:v>
      </x:c>
      <x:c r="D90" s="32" t="str">
        <x:v>15. Rolling Chassis</x:v>
      </x:c>
      <x:c r="E90" s="32" t="str">
        <x:v>Front axle + steering mount</x:v>
      </x:c>
      <x:c r="F90" s="32" t="str">
        <x:v>Weekend build block</x:v>
      </x:c>
      <x:c r="G90" s="32" t="str">
        <x:v>Check steering travel, hand clearance, wheel clearance, and no over-centre binding.</x:v>
      </x:c>
      <x:c r="H90" s="32" t="str">
        <x:v>Steering movement test</x:v>
      </x:c>
      <x:c r="I90" s="38" t="n">
        <x:v>1</x:v>
      </x:c>
      <x:c r="J90" s="36" t="n">
        <x:v>46221</x:v>
      </x:c>
      <x:c r="K90" s="32" t="str">
        <x:v>P0 Critical</x:v>
      </x:c>
      <x:c r="L90" s="32" t="str">
        <x:v>Not Started</x:v>
      </x:c>
      <x:c r="M90" s="32" t="str">
        <x:v>☐</x:v>
      </x:c>
      <x:c r="N90" s="32" t="str">
        <x:v>Steering mount</x:v>
      </x:c>
      <x:c r="O90" s="32" t="str">
        <x:v>No</x:v>
      </x:c>
      <x:c r="P90" s="32" t="str"/>
      <x:c r="Q90" s="32" t="str"/>
      <x:c r="R90" s="32" t="str">
        <x:v>Test notes</x:v>
      </x:c>
      <x:c r="S90" s="32" t="str">
        <x:v>Kenny</x:v>
      </x:c>
      <x:c r="T90" s="40" t="n">
        <x:f>IF($M90="☑",1,IF($L90="In Progress",0.5,0))</x:f>
        <x:v>0</x:v>
      </x:c>
      <x:c r="U90" s="32" t="n">
        <x:f>IF($J90="","",$J90-TODAY())</x:f>
        <x:v>30</x:v>
      </x:c>
    </x:row>
    <x:row r="91">
      <x:c r="A91" s="32" t="str">
        <x:v>T087</x:v>
      </x:c>
      <x:c r="B91" s="36" t="n">
        <x:v>46221</x:v>
      </x:c>
      <x:c r="C91" s="32" t="str">
        <x:v>W29</x:v>
      </x:c>
      <x:c r="D91" s="32" t="str">
        <x:v>15. Rolling Chassis</x:v>
      </x:c>
      <x:c r="E91" s="32" t="str">
        <x:v>Front axle + steering mount</x:v>
      </x:c>
      <x:c r="F91" s="32" t="str">
        <x:v>Weekend build block</x:v>
      </x:c>
      <x:c r="G91" s="32" t="str">
        <x:v>Take build photos for private log; mark anything unsafe before public sharing.</x:v>
      </x:c>
      <x:c r="H91" s="32" t="str">
        <x:v>Private progress photos</x:v>
      </x:c>
      <x:c r="I91" s="38" t="n">
        <x:v>0.3</x:v>
      </x:c>
      <x:c r="J91" s="36" t="n">
        <x:v>46221</x:v>
      </x:c>
      <x:c r="K91" s="32" t="str">
        <x:v>P3 Low</x:v>
      </x:c>
      <x:c r="L91" s="32" t="str">
        <x:v>Not Started</x:v>
      </x:c>
      <x:c r="M91" s="32" t="str">
        <x:v>☐</x:v>
      </x:c>
      <x:c r="N91" s="32" t="str">
        <x:v>Build started</x:v>
      </x:c>
      <x:c r="O91" s="32" t="str">
        <x:v>No</x:v>
      </x:c>
      <x:c r="P91" s="32" t="str"/>
      <x:c r="Q91" s="32" t="str"/>
      <x:c r="R91" s="32" t="str">
        <x:v>Build in Public Later</x:v>
      </x:c>
      <x:c r="S91" s="32" t="str">
        <x:v>Kenny</x:v>
      </x:c>
      <x:c r="T91" s="40" t="n">
        <x:f>IF($M91="☑",1,IF($L91="In Progress",0.5,0))</x:f>
        <x:v>0</x:v>
      </x:c>
      <x:c r="U91" s="32" t="n">
        <x:f>IF($J91="","",$J91-TODAY())</x:f>
        <x:v>30</x:v>
      </x:c>
    </x:row>
    <x:row r="92">
      <x:c r="A92" s="32" t="str">
        <x:v>T088</x:v>
      </x:c>
      <x:c r="B92" s="36" t="n">
        <x:v>46222</x:v>
      </x:c>
      <x:c r="C92" s="32" t="str">
        <x:v>W29</x:v>
      </x:c>
      <x:c r="D92" s="32" t="str">
        <x:v>15. Rolling Chassis</x:v>
      </x:c>
      <x:c r="E92" s="32" t="str">
        <x:v>Rear axle + brake mount</x:v>
      </x:c>
      <x:c r="F92" s="32" t="str">
        <x:v>Weekend build block</x:v>
      </x:c>
      <x:c r="G92" s="32" t="str">
        <x:v>Install/mock rear axle and wheel bearings; check parallel alignment and bearing spin.</x:v>
      </x:c>
      <x:c r="H92" s="32" t="str">
        <x:v>Rear axle v0</x:v>
      </x:c>
      <x:c r="I92" s="38" t="n">
        <x:v>2</x:v>
      </x:c>
      <x:c r="J92" s="36" t="n">
        <x:v>46222</x:v>
      </x:c>
      <x:c r="K92" s="32" t="str">
        <x:v>P0 Critical</x:v>
      </x:c>
      <x:c r="L92" s="32" t="str">
        <x:v>Not Started</x:v>
      </x:c>
      <x:c r="M92" s="32" t="str">
        <x:v>☐</x:v>
      </x:c>
      <x:c r="N92" s="32" t="str">
        <x:v>Base frame</x:v>
      </x:c>
      <x:c r="O92" s="32" t="str">
        <x:v>No</x:v>
      </x:c>
      <x:c r="P92" s="32" t="str"/>
      <x:c r="Q92" s="32" t="str"/>
      <x:c r="R92" s="32" t="str">
        <x:v>Workshop</x:v>
      </x:c>
      <x:c r="S92" s="32" t="str">
        <x:v>Kenny</x:v>
      </x:c>
      <x:c r="T92" s="40" t="n">
        <x:f>IF($M92="☑",1,IF($L92="In Progress",0.5,0))</x:f>
        <x:v>0</x:v>
      </x:c>
      <x:c r="U92" s="32" t="n">
        <x:f>IF($J92="","",$J92-TODAY())</x:f>
        <x:v>31</x:v>
      </x:c>
    </x:row>
    <x:row r="93">
      <x:c r="A93" s="32" t="str">
        <x:v>T089</x:v>
      </x:c>
      <x:c r="B93" s="36" t="n">
        <x:v>46222</x:v>
      </x:c>
      <x:c r="C93" s="32" t="str">
        <x:v>W29</x:v>
      </x:c>
      <x:c r="D93" s="32" t="str">
        <x:v>15. Rolling Chassis</x:v>
      </x:c>
      <x:c r="E93" s="32" t="str">
        <x:v>Rear axle + brake mount</x:v>
      </x:c>
      <x:c r="F93" s="32" t="str">
        <x:v>Weekend build block</x:v>
      </x:c>
      <x:c r="G93" s="32" t="str">
        <x:v>Fit brake mount or drag-brake bracket; verify clear cable/lever path.</x:v>
      </x:c>
      <x:c r="H93" s="32" t="str">
        <x:v>Brake mount v0</x:v>
      </x:c>
      <x:c r="I93" s="38" t="n">
        <x:v>1</x:v>
      </x:c>
      <x:c r="J93" s="36" t="n">
        <x:v>46222</x:v>
      </x:c>
      <x:c r="K93" s="32" t="str">
        <x:v>P0 Critical</x:v>
      </x:c>
      <x:c r="L93" s="32" t="str">
        <x:v>Not Started</x:v>
      </x:c>
      <x:c r="M93" s="32" t="str">
        <x:v>☐</x:v>
      </x:c>
      <x:c r="N93" s="32" t="str">
        <x:v>Brake package</x:v>
      </x:c>
      <x:c r="O93" s="32" t="str">
        <x:v>No</x:v>
      </x:c>
      <x:c r="P93" s="32" t="str"/>
      <x:c r="Q93" s="32" t="str"/>
      <x:c r="R93" s="32" t="str">
        <x:v>Workshop</x:v>
      </x:c>
      <x:c r="S93" s="32" t="str">
        <x:v>Kenny</x:v>
      </x:c>
      <x:c r="T93" s="40" t="n">
        <x:f>IF($M93="☑",1,IF($L93="In Progress",0.5,0))</x:f>
        <x:v>0</x:v>
      </x:c>
      <x:c r="U93" s="32" t="n">
        <x:f>IF($J93="","",$J93-TODAY())</x:f>
        <x:v>31</x:v>
      </x:c>
    </x:row>
    <x:row r="94">
      <x:c r="A94" s="32" t="str">
        <x:v>T090</x:v>
      </x:c>
      <x:c r="B94" s="36" t="n">
        <x:v>46223</x:v>
      </x:c>
      <x:c r="C94" s="32" t="str">
        <x:v>W30</x:v>
      </x:c>
      <x:c r="D94" s="32" t="str">
        <x:v>15. Rolling Chassis</x:v>
      </x:c>
      <x:c r="E94" s="32" t="str">
        <x:v>Rolling chassis test prep</x:v>
      </x:c>
      <x:c r="F94" s="32" t="str">
        <x:v>Evening / focused block</x:v>
      </x:c>
      <x:c r="G94" s="32" t="str">
        <x:v>Mount temporary seat/driver ballast and check driver reach to steering/brakes.</x:v>
      </x:c>
      <x:c r="H94" s="32" t="str">
        <x:v>Driver fit test</x:v>
      </x:c>
      <x:c r="I94" s="38" t="n">
        <x:v>1</x:v>
      </x:c>
      <x:c r="J94" s="36" t="n">
        <x:v>46223</x:v>
      </x:c>
      <x:c r="K94" s="32" t="str">
        <x:v>P0 Critical</x:v>
      </x:c>
      <x:c r="L94" s="32" t="str">
        <x:v>Not Started</x:v>
      </x:c>
      <x:c r="M94" s="32" t="str">
        <x:v>☐</x:v>
      </x:c>
      <x:c r="N94" s="32" t="str">
        <x:v>Axles + steering</x:v>
      </x:c>
      <x:c r="O94" s="32" t="str">
        <x:v>No</x:v>
      </x:c>
      <x:c r="P94" s="32" t="str"/>
      <x:c r="Q94" s="32" t="str"/>
      <x:c r="R94" s="32" t="str">
        <x:v>Workshop</x:v>
      </x:c>
      <x:c r="S94" s="32" t="str">
        <x:v>Kenny</x:v>
      </x:c>
      <x:c r="T94" s="40" t="n">
        <x:f>IF($M94="☑",1,IF($L94="In Progress",0.5,0))</x:f>
        <x:v>0</x:v>
      </x:c>
      <x:c r="U94" s="32" t="n">
        <x:f>IF($J94="","",$J94-TODAY())</x:f>
        <x:v>32</x:v>
      </x:c>
    </x:row>
    <x:row r="95">
      <x:c r="A95" s="32" t="str">
        <x:v>T091</x:v>
      </x:c>
      <x:c r="B95" s="36" t="n">
        <x:v>46223</x:v>
      </x:c>
      <x:c r="C95" s="32" t="str">
        <x:v>W30</x:v>
      </x:c>
      <x:c r="D95" s="32" t="str">
        <x:v>15. Rolling Chassis</x:v>
      </x:c>
      <x:c r="E95" s="32" t="str">
        <x:v>Rolling chassis test prep</x:v>
      </x:c>
      <x:c r="F95" s="32" t="str">
        <x:v>Evening / focused block</x:v>
      </x:c>
      <x:c r="G95" s="32" t="str">
        <x:v>Prepare low-speed test checklist: helmet/PPE, spotter, flat surface, brake zone, no traffic.</x:v>
      </x:c>
      <x:c r="H95" s="32" t="str">
        <x:v>Test checklist</x:v>
      </x:c>
      <x:c r="I95" s="38" t="n">
        <x:v>0.8</x:v>
      </x:c>
      <x:c r="J95" s="36" t="n">
        <x:v>46223</x:v>
      </x:c>
      <x:c r="K95" s="32" t="str">
        <x:v>P0 Critical</x:v>
      </x:c>
      <x:c r="L95" s="32" t="str">
        <x:v>Not Started</x:v>
      </x:c>
      <x:c r="M95" s="32" t="str">
        <x:v>☐</x:v>
      </x:c>
      <x:c r="N95" s="32" t="str">
        <x:v>Brake mount</x:v>
      </x:c>
      <x:c r="O95" s="32" t="str">
        <x:v>No</x:v>
      </x:c>
      <x:c r="P95" s="32" t="str"/>
      <x:c r="Q95" s="32" t="str"/>
      <x:c r="R95" s="32" t="str">
        <x:v>Test checklist</x:v>
      </x:c>
      <x:c r="S95" s="32" t="str">
        <x:v>Kenny</x:v>
      </x:c>
      <x:c r="T95" s="40" t="n">
        <x:f>IF($M95="☑",1,IF($L95="In Progress",0.5,0))</x:f>
        <x:v>0</x:v>
      </x:c>
      <x:c r="U95" s="32" t="n">
        <x:f>IF($J95="","",$J95-TODAY())</x:f>
        <x:v>32</x:v>
      </x:c>
    </x:row>
    <x:row r="96">
      <x:c r="A96" s="32" t="str">
        <x:v>T092</x:v>
      </x:c>
      <x:c r="B96" s="36" t="n">
        <x:v>46224</x:v>
      </x:c>
      <x:c r="C96" s="32" t="str">
        <x:v>W30</x:v>
      </x:c>
      <x:c r="D96" s="32" t="str">
        <x:v>15. Rolling Chassis</x:v>
      </x:c>
      <x:c r="E96" s="32" t="str">
        <x:v>First roll: flat ground</x:v>
      </x:c>
      <x:c r="F96" s="32" t="str">
        <x:v>Evening / focused block</x:v>
      </x:c>
      <x:c r="G96" s="32" t="str">
        <x:v>Perform flat-ground push test with safety gear; speed walking pace only.</x:v>
      </x:c>
      <x:c r="H96" s="32" t="str">
        <x:v>Flat roll test 1</x:v>
      </x:c>
      <x:c r="I96" s="38" t="n">
        <x:v>1</x:v>
      </x:c>
      <x:c r="J96" s="36" t="n">
        <x:v>46224</x:v>
      </x:c>
      <x:c r="K96" s="32" t="str">
        <x:v>P0 Critical</x:v>
      </x:c>
      <x:c r="L96" s="32" t="str">
        <x:v>Not Started</x:v>
      </x:c>
      <x:c r="M96" s="32" t="str">
        <x:v>☐</x:v>
      </x:c>
      <x:c r="N96" s="32" t="str">
        <x:v>Test checklist</x:v>
      </x:c>
      <x:c r="O96" s="32" t="str">
        <x:v>No</x:v>
      </x:c>
      <x:c r="P96" s="32" t="str"/>
      <x:c r="Q96" s="32" t="str"/>
      <x:c r="R96" s="32" t="str">
        <x:v>Test notes</x:v>
      </x:c>
      <x:c r="S96" s="32" t="str">
        <x:v>Kenny</x:v>
      </x:c>
      <x:c r="T96" s="40" t="n">
        <x:f>IF($M96="☑",1,IF($L96="In Progress",0.5,0))</x:f>
        <x:v>0</x:v>
      </x:c>
      <x:c r="U96" s="32" t="n">
        <x:f>IF($J96="","",$J96-TODAY())</x:f>
        <x:v>33</x:v>
      </x:c>
    </x:row>
    <x:row r="97">
      <x:c r="A97" s="32" t="str">
        <x:v>T093</x:v>
      </x:c>
      <x:c r="B97" s="36" t="n">
        <x:v>46224</x:v>
      </x:c>
      <x:c r="C97" s="32" t="str">
        <x:v>W30</x:v>
      </x:c>
      <x:c r="D97" s="32" t="str">
        <x:v>15. Rolling Chassis</x:v>
      </x:c>
      <x:c r="E97" s="32" t="str">
        <x:v>First roll: flat ground</x:v>
      </x:c>
      <x:c r="F97" s="32" t="str">
        <x:v>Evening / focused block</x:v>
      </x:c>
      <x:c r="G97" s="32" t="str">
        <x:v>Log steering feel, brake response, wheel rub, frame flex, loose fasteners.</x:v>
      </x:c>
      <x:c r="H97" s="32" t="str">
        <x:v>Issue log v1</x:v>
      </x:c>
      <x:c r="I97" s="38" t="n">
        <x:v>0.7</x:v>
      </x:c>
      <x:c r="J97" s="36" t="n">
        <x:v>46224</x:v>
      </x:c>
      <x:c r="K97" s="32" t="str">
        <x:v>P0 Critical</x:v>
      </x:c>
      <x:c r="L97" s="32" t="str">
        <x:v>Not Started</x:v>
      </x:c>
      <x:c r="M97" s="32" t="str">
        <x:v>☐</x:v>
      </x:c>
      <x:c r="N97" s="32" t="str">
        <x:v>Flat roll test</x:v>
      </x:c>
      <x:c r="O97" s="32" t="str">
        <x:v>No</x:v>
      </x:c>
      <x:c r="P97" s="32" t="str"/>
      <x:c r="Q97" s="32" t="str"/>
      <x:c r="R97" s="32" t="str">
        <x:v>Risk register</x:v>
      </x:c>
      <x:c r="S97" s="32" t="str">
        <x:v>Kenny</x:v>
      </x:c>
      <x:c r="T97" s="40" t="n">
        <x:f>IF($M97="☑",1,IF($L97="In Progress",0.5,0))</x:f>
        <x:v>0</x:v>
      </x:c>
      <x:c r="U97" s="32" t="n">
        <x:f>IF($J97="","",$J97-TODAY())</x:f>
        <x:v>33</x:v>
      </x:c>
    </x:row>
    <x:row r="98">
      <x:c r="A98" s="32" t="str">
        <x:v>T094</x:v>
      </x:c>
      <x:c r="B98" s="36" t="n">
        <x:v>46225</x:v>
      </x:c>
      <x:c r="C98" s="32" t="str">
        <x:v>W30</x:v>
      </x:c>
      <x:c r="D98" s="32" t="str">
        <x:v>15. Rolling Chassis</x:v>
      </x:c>
      <x:c r="E98" s="32" t="str">
        <x:v>Fix roll-test issues</x:v>
      </x:c>
      <x:c r="F98" s="32" t="str">
        <x:v>Evening / focused block</x:v>
      </x:c>
      <x:c r="G98" s="32" t="str">
        <x:v>Fix looseness, rub, bracket flex, or brake weakness found in flat test.</x:v>
      </x:c>
      <x:c r="H98" s="32" t="str">
        <x:v>Fix batch 1</x:v>
      </x:c>
      <x:c r="I98" s="38" t="n">
        <x:v>1.5</x:v>
      </x:c>
      <x:c r="J98" s="36" t="n">
        <x:v>46225</x:v>
      </x:c>
      <x:c r="K98" s="32" t="str">
        <x:v>P0 Critical</x:v>
      </x:c>
      <x:c r="L98" s="32" t="str">
        <x:v>Not Started</x:v>
      </x:c>
      <x:c r="M98" s="32" t="str">
        <x:v>☐</x:v>
      </x:c>
      <x:c r="N98" s="32" t="str">
        <x:v>Issue log v1</x:v>
      </x:c>
      <x:c r="O98" s="32" t="str">
        <x:v>No</x:v>
      </x:c>
      <x:c r="P98" s="32" t="str"/>
      <x:c r="Q98" s="32" t="str"/>
      <x:c r="R98" s="32" t="str">
        <x:v>Workshop</x:v>
      </x:c>
      <x:c r="S98" s="32" t="str">
        <x:v>Kenny</x:v>
      </x:c>
      <x:c r="T98" s="40" t="n">
        <x:f>IF($M98="☑",1,IF($L98="In Progress",0.5,0))</x:f>
        <x:v>0</x:v>
      </x:c>
      <x:c r="U98" s="32" t="n">
        <x:f>IF($J98="","",$J98-TODAY())</x:f>
        <x:v>34</x:v>
      </x:c>
    </x:row>
    <x:row r="99">
      <x:c r="A99" s="32" t="str">
        <x:v>T095</x:v>
      </x:c>
      <x:c r="B99" s="36" t="n">
        <x:v>46225</x:v>
      </x:c>
      <x:c r="C99" s="32" t="str">
        <x:v>W30</x:v>
      </x:c>
      <x:c r="D99" s="32" t="str">
        <x:v>15. Rolling Chassis</x:v>
      </x:c>
      <x:c r="E99" s="32" t="str">
        <x:v>Fix roll-test issues</x:v>
      </x:c>
      <x:c r="F99" s="32" t="str">
        <x:v>Evening / focused block</x:v>
      </x:c>
      <x:c r="G99" s="32" t="str">
        <x:v>Retest flat roll and brake stop; update issue status.</x:v>
      </x:c>
      <x:c r="H99" s="32" t="str">
        <x:v>Flat roll test 2</x:v>
      </x:c>
      <x:c r="I99" s="38" t="n">
        <x:v>0.8</x:v>
      </x:c>
      <x:c r="J99" s="36" t="n">
        <x:v>46225</x:v>
      </x:c>
      <x:c r="K99" s="32" t="str">
        <x:v>P0 Critical</x:v>
      </x:c>
      <x:c r="L99" s="32" t="str">
        <x:v>Not Started</x:v>
      </x:c>
      <x:c r="M99" s="32" t="str">
        <x:v>☐</x:v>
      </x:c>
      <x:c r="N99" s="32" t="str">
        <x:v>Fix batch 1</x:v>
      </x:c>
      <x:c r="O99" s="32" t="str">
        <x:v>No</x:v>
      </x:c>
      <x:c r="P99" s="32" t="str"/>
      <x:c r="Q99" s="32" t="str"/>
      <x:c r="R99" s="32" t="str">
        <x:v>Test notes</x:v>
      </x:c>
      <x:c r="S99" s="32" t="str">
        <x:v>Kenny</x:v>
      </x:c>
      <x:c r="T99" s="40" t="n">
        <x:f>IF($M99="☑",1,IF($L99="In Progress",0.5,0))</x:f>
        <x:v>0</x:v>
      </x:c>
      <x:c r="U99" s="32" t="n">
        <x:f>IF($J99="","",$J99-TODAY())</x:f>
        <x:v>34</x:v>
      </x:c>
    </x:row>
    <x:row r="100">
      <x:c r="A100" s="32" t="str">
        <x:v>T096</x:v>
      </x:c>
      <x:c r="B100" s="36" t="n">
        <x:v>46226</x:v>
      </x:c>
      <x:c r="C100" s="32" t="str">
        <x:v>W30</x:v>
      </x:c>
      <x:c r="D100" s="32" t="str">
        <x:v>15. Rolling Chassis</x:v>
      </x:c>
      <x:c r="E100" s="32" t="str">
        <x:v>Static load test</x:v>
      </x:c>
      <x:c r="F100" s="32" t="str">
        <x:v>Evening / focused block</x:v>
      </x:c>
      <x:c r="G100" s="32" t="str">
        <x:v>Load chassis with driver-equivalent mass plus margin; inspect flex, cracks, bolt movement.</x:v>
      </x:c>
      <x:c r="H100" s="32" t="str">
        <x:v>Static load test</x:v>
      </x:c>
      <x:c r="I100" s="38" t="n">
        <x:v>1</x:v>
      </x:c>
      <x:c r="J100" s="36" t="n">
        <x:v>46226</x:v>
      </x:c>
      <x:c r="K100" s="32" t="str">
        <x:v>P0 Critical</x:v>
      </x:c>
      <x:c r="L100" s="32" t="str">
        <x:v>Not Started</x:v>
      </x:c>
      <x:c r="M100" s="32" t="str">
        <x:v>☐</x:v>
      </x:c>
      <x:c r="N100" s="32" t="str">
        <x:v>Flat roll test 2</x:v>
      </x:c>
      <x:c r="O100" s="32" t="str">
        <x:v>No</x:v>
      </x:c>
      <x:c r="P100" s="32" t="str"/>
      <x:c r="Q100" s="32" t="str"/>
      <x:c r="R100" s="32" t="str">
        <x:v>Test notes</x:v>
      </x:c>
      <x:c r="S100" s="32" t="str">
        <x:v>Kenny</x:v>
      </x:c>
      <x:c r="T100" s="40" t="n">
        <x:f>IF($M100="☑",1,IF($L100="In Progress",0.5,0))</x:f>
        <x:v>0</x:v>
      </x:c>
      <x:c r="U100" s="32" t="n">
        <x:f>IF($J100="","",$J100-TODAY())</x:f>
        <x:v>35</x:v>
      </x:c>
    </x:row>
    <x:row r="101">
      <x:c r="A101" s="32" t="str">
        <x:v>T097</x:v>
      </x:c>
      <x:c r="B101" s="36" t="n">
        <x:v>46226</x:v>
      </x:c>
      <x:c r="C101" s="32" t="str">
        <x:v>W30</x:v>
      </x:c>
      <x:c r="D101" s="32" t="str">
        <x:v>15. Rolling Chassis</x:v>
      </x:c>
      <x:c r="E101" s="32" t="str">
        <x:v>Static load test</x:v>
      </x:c>
      <x:c r="F101" s="32" t="str">
        <x:v>Evening / focused block</x:v>
      </x:c>
      <x:c r="G101" s="32" t="str">
        <x:v>Mark reinforcement points and update CAD/BOM as-built differences.</x:v>
      </x:c>
      <x:c r="H101" s="32" t="str">
        <x:v>As-built notes</x:v>
      </x:c>
      <x:c r="I101" s="38" t="n">
        <x:v>0.8</x:v>
      </x:c>
      <x:c r="J101" s="36" t="n">
        <x:v>46226</x:v>
      </x:c>
      <x:c r="K101" s="32" t="str">
        <x:v>P1 High</x:v>
      </x:c>
      <x:c r="L101" s="32" t="str">
        <x:v>Not Started</x:v>
      </x:c>
      <x:c r="M101" s="32" t="str">
        <x:v>☐</x:v>
      </x:c>
      <x:c r="N101" s="32" t="str">
        <x:v>Static load test</x:v>
      </x:c>
      <x:c r="O101" s="32" t="str">
        <x:v>No</x:v>
      </x:c>
      <x:c r="P101" s="32" t="str"/>
      <x:c r="Q101" s="32" t="str"/>
      <x:c r="R101" s="32" t="str">
        <x:v>CAD/BOM</x:v>
      </x:c>
      <x:c r="S101" s="32" t="str">
        <x:v>Kenny</x:v>
      </x:c>
      <x:c r="T101" s="40" t="n">
        <x:f>IF($M101="☑",1,IF($L101="In Progress",0.5,0))</x:f>
        <x:v>0</x:v>
      </x:c>
      <x:c r="U101" s="32" t="n">
        <x:f>IF($J101="","",$J101-TODAY())</x:f>
        <x:v>35</x:v>
      </x:c>
    </x:row>
    <x:row r="102">
      <x:c r="A102" s="32" t="str">
        <x:v>T098</x:v>
      </x:c>
      <x:c r="B102" s="36" t="n">
        <x:v>46227</x:v>
      </x:c>
      <x:c r="C102" s="32" t="str">
        <x:v>W30</x:v>
      </x:c>
      <x:c r="D102" s="32" t="str">
        <x:v>15. Rolling Chassis</x:v>
      </x:c>
      <x:c r="E102" s="32" t="str">
        <x:v>Roll protection + cockpit padding plan</x:v>
      </x:c>
      <x:c r="F102" s="32" t="str">
        <x:v>Evening / focused block</x:v>
      </x:c>
      <x:c r="G102" s="32" t="str">
        <x:v>Mock roll/side protection, harness/seat retention, and cockpit padding; verify exit path.</x:v>
      </x:c>
      <x:c r="H102" s="32" t="str">
        <x:v>Safety mockup</x:v>
      </x:c>
      <x:c r="I102" s="38" t="n">
        <x:v>1.2</x:v>
      </x:c>
      <x:c r="J102" s="36" t="n">
        <x:v>46227</x:v>
      </x:c>
      <x:c r="K102" s="32" t="str">
        <x:v>P0 Critical</x:v>
      </x:c>
      <x:c r="L102" s="32" t="str">
        <x:v>Not Started</x:v>
      </x:c>
      <x:c r="M102" s="32" t="str">
        <x:v>☐</x:v>
      </x:c>
      <x:c r="N102" s="32" t="str">
        <x:v>Static load test</x:v>
      </x:c>
      <x:c r="O102" s="32" t="str">
        <x:v>Yes</x:v>
      </x:c>
      <x:c r="P102" s="32" t="str">
        <x:v>What minimum roll/side protection is being built?</x:v>
      </x:c>
      <x:c r="Q102" s="32" t="str"/>
      <x:c r="R102" s="32" t="str">
        <x:v>Safety notes</x:v>
      </x:c>
      <x:c r="S102" s="32" t="str">
        <x:v>Kenny</x:v>
      </x:c>
      <x:c r="T102" s="40" t="n">
        <x:f>IF($M102="☑",1,IF($L102="In Progress",0.5,0))</x:f>
        <x:v>0</x:v>
      </x:c>
      <x:c r="U102" s="32" t="n">
        <x:f>IF($J102="","",$J102-TODAY())</x:f>
        <x:v>36</x:v>
      </x:c>
    </x:row>
    <x:row r="103">
      <x:c r="A103" s="32" t="str">
        <x:v>T099</x:v>
      </x:c>
      <x:c r="B103" s="36" t="n">
        <x:v>46227</x:v>
      </x:c>
      <x:c r="C103" s="32" t="str">
        <x:v>W30</x:v>
      </x:c>
      <x:c r="D103" s="32" t="str">
        <x:v>15. Rolling Chassis</x:v>
      </x:c>
      <x:c r="E103" s="32" t="str">
        <x:v>Roll protection + cockpit padding plan</x:v>
      </x:c>
      <x:c r="F103" s="32" t="str">
        <x:v>Evening / focused block</x:v>
      </x:c>
      <x:c r="G103" s="32" t="str">
        <x:v>Source padding/harness/helmet fit materials; update BOM.</x:v>
      </x:c>
      <x:c r="H103" s="32" t="str">
        <x:v>Safety materials list</x:v>
      </x:c>
      <x:c r="I103" s="38" t="n">
        <x:v>0.6</x:v>
      </x:c>
      <x:c r="J103" s="36" t="n">
        <x:v>46227</x:v>
      </x:c>
      <x:c r="K103" s="32" t="str">
        <x:v>P0 Critical</x:v>
      </x:c>
      <x:c r="L103" s="32" t="str">
        <x:v>Not Started</x:v>
      </x:c>
      <x:c r="M103" s="32" t="str">
        <x:v>☐</x:v>
      </x:c>
      <x:c r="N103" s="32" t="str">
        <x:v>Safety mockup</x:v>
      </x:c>
      <x:c r="O103" s="32" t="str">
        <x:v>No</x:v>
      </x:c>
      <x:c r="P103" s="32" t="str"/>
      <x:c r="Q103" s="32" t="str"/>
      <x:c r="R103" s="32" t="str">
        <x:v>BOM</x:v>
      </x:c>
      <x:c r="S103" s="32" t="str">
        <x:v>Kenny</x:v>
      </x:c>
      <x:c r="T103" s="40" t="n">
        <x:f>IF($M103="☑",1,IF($L103="In Progress",0.5,0))</x:f>
        <x:v>0</x:v>
      </x:c>
      <x:c r="U103" s="32" t="n">
        <x:f>IF($J103="","",$J103-TODAY())</x:f>
        <x:v>36</x:v>
      </x:c>
    </x:row>
    <x:row r="104">
      <x:c r="A104" s="32" t="str">
        <x:v>T100</x:v>
      </x:c>
      <x:c r="B104" s="36" t="n">
        <x:v>46228</x:v>
      </x:c>
      <x:c r="C104" s="32" t="str">
        <x:v>W30</x:v>
      </x:c>
      <x:c r="D104" s="32" t="str">
        <x:v>15. Rolling Chassis</x:v>
      </x:c>
      <x:c r="E104" s="32" t="str">
        <x:v>Reinforcement weekend</x:v>
      </x:c>
      <x:c r="F104" s="32" t="str">
        <x:v>Weekend build block</x:v>
      </x:c>
      <x:c r="G104" s="32" t="str">
        <x:v>Install reinforcement at axle mounts, steering column support, seat mount, brake mount.</x:v>
      </x:c>
      <x:c r="H104" s="32" t="str">
        <x:v>Reinforcement batch</x:v>
      </x:c>
      <x:c r="I104" s="38" t="n">
        <x:v>2.5</x:v>
      </x:c>
      <x:c r="J104" s="36" t="n">
        <x:v>46228</x:v>
      </x:c>
      <x:c r="K104" s="32" t="str">
        <x:v>P0 Critical</x:v>
      </x:c>
      <x:c r="L104" s="32" t="str">
        <x:v>Not Started</x:v>
      </x:c>
      <x:c r="M104" s="32" t="str">
        <x:v>☐</x:v>
      </x:c>
      <x:c r="N104" s="32" t="str">
        <x:v>Static load test</x:v>
      </x:c>
      <x:c r="O104" s="32" t="str">
        <x:v>No</x:v>
      </x:c>
      <x:c r="P104" s="32" t="str"/>
      <x:c r="Q104" s="32" t="str"/>
      <x:c r="R104" s="32" t="str">
        <x:v>Workshop</x:v>
      </x:c>
      <x:c r="S104" s="32" t="str">
        <x:v>Kenny</x:v>
      </x:c>
      <x:c r="T104" s="40" t="n">
        <x:f>IF($M104="☑",1,IF($L104="In Progress",0.5,0))</x:f>
        <x:v>0</x:v>
      </x:c>
      <x:c r="U104" s="32" t="n">
        <x:f>IF($J104="","",$J104-TODAY())</x:f>
        <x:v>37</x:v>
      </x:c>
    </x:row>
    <x:row r="105">
      <x:c r="A105" s="32" t="str">
        <x:v>T101</x:v>
      </x:c>
      <x:c r="B105" s="36" t="n">
        <x:v>46228</x:v>
      </x:c>
      <x:c r="C105" s="32" t="str">
        <x:v>W30</x:v>
      </x:c>
      <x:c r="D105" s="32" t="str">
        <x:v>15. Rolling Chassis</x:v>
      </x:c>
      <x:c r="E105" s="32" t="str">
        <x:v>Reinforcement weekend</x:v>
      </x:c>
      <x:c r="F105" s="32" t="str">
        <x:v>Weekend build block</x:v>
      </x:c>
      <x:c r="G105" s="32" t="str">
        <x:v>Torque/check all fasteners; add locknuts/threadlocker where appropriate.</x:v>
      </x:c>
      <x:c r="H105" s="32" t="str">
        <x:v>Fastener audit 1</x:v>
      </x:c>
      <x:c r="I105" s="38" t="n">
        <x:v>0.8</x:v>
      </x:c>
      <x:c r="J105" s="36" t="n">
        <x:v>46228</x:v>
      </x:c>
      <x:c r="K105" s="32" t="str">
        <x:v>P0 Critical</x:v>
      </x:c>
      <x:c r="L105" s="32" t="str">
        <x:v>Not Started</x:v>
      </x:c>
      <x:c r="M105" s="32" t="str">
        <x:v>☐</x:v>
      </x:c>
      <x:c r="N105" s="32" t="str">
        <x:v>Reinforcement</x:v>
      </x:c>
      <x:c r="O105" s="32" t="str">
        <x:v>No</x:v>
      </x:c>
      <x:c r="P105" s="32" t="str"/>
      <x:c r="Q105" s="32" t="str"/>
      <x:c r="R105" s="32" t="str">
        <x:v>Inspection checklist</x:v>
      </x:c>
      <x:c r="S105" s="32" t="str">
        <x:v>Kenny</x:v>
      </x:c>
      <x:c r="T105" s="40" t="n">
        <x:f>IF($M105="☑",1,IF($L105="In Progress",0.5,0))</x:f>
        <x:v>0</x:v>
      </x:c>
      <x:c r="U105" s="32" t="n">
        <x:f>IF($J105="","",$J105-TODAY())</x:f>
        <x:v>37</x:v>
      </x:c>
    </x:row>
    <x:row r="106">
      <x:c r="A106" s="32" t="str">
        <x:v>T102</x:v>
      </x:c>
      <x:c r="B106" s="36" t="n">
        <x:v>46229</x:v>
      </x:c>
      <x:c r="C106" s="32" t="str">
        <x:v>W30</x:v>
      </x:c>
      <x:c r="D106" s="32" t="str">
        <x:v>15. Rolling Chassis</x:v>
      </x:c>
      <x:c r="E106" s="32" t="str">
        <x:v>Low-slope shakedown</x:v>
      </x:c>
      <x:c r="F106" s="32" t="str">
        <x:v>Weekend build block</x:v>
      </x:c>
      <x:c r="G106" s="32" t="str">
        <x:v>Perform very low-slope coast test with spotter and runout; no aggressive steering.</x:v>
      </x:c>
      <x:c r="H106" s="32" t="str">
        <x:v>Low-slope test 1</x:v>
      </x:c>
      <x:c r="I106" s="38" t="n">
        <x:v>1</x:v>
      </x:c>
      <x:c r="J106" s="36" t="n">
        <x:v>46229</x:v>
      </x:c>
      <x:c r="K106" s="32" t="str">
        <x:v>P0 Critical</x:v>
      </x:c>
      <x:c r="L106" s="32" t="str">
        <x:v>Not Started</x:v>
      </x:c>
      <x:c r="M106" s="32" t="str">
        <x:v>☐</x:v>
      </x:c>
      <x:c r="N106" s="32" t="str">
        <x:v>Fastener audit</x:v>
      </x:c>
      <x:c r="O106" s="32" t="str">
        <x:v>No</x:v>
      </x:c>
      <x:c r="P106" s="32" t="str"/>
      <x:c r="Q106" s="32" t="str"/>
      <x:c r="R106" s="32" t="str">
        <x:v>Test notes</x:v>
      </x:c>
      <x:c r="S106" s="32" t="str">
        <x:v>Kenny</x:v>
      </x:c>
      <x:c r="T106" s="40" t="n">
        <x:f>IF($M106="☑",1,IF($L106="In Progress",0.5,0))</x:f>
        <x:v>0</x:v>
      </x:c>
      <x:c r="U106" s="32" t="n">
        <x:f>IF($J106="","",$J106-TODAY())</x:f>
        <x:v>38</x:v>
      </x:c>
    </x:row>
    <x:row r="107">
      <x:c r="A107" s="32" t="str">
        <x:v>T103</x:v>
      </x:c>
      <x:c r="B107" s="36" t="n">
        <x:v>46229</x:v>
      </x:c>
      <x:c r="C107" s="32" t="str">
        <x:v>W30</x:v>
      </x:c>
      <x:c r="D107" s="32" t="str">
        <x:v>15. Rolling Chassis</x:v>
      </x:c>
      <x:c r="E107" s="32" t="str">
        <x:v>Low-slope shakedown</x:v>
      </x:c>
      <x:c r="F107" s="32" t="str">
        <x:v>Weekend build block</x:v>
      </x:c>
      <x:c r="G107" s="32" t="str">
        <x:v>Tune brake lever travel and tyre pressure; log stop distance and steering stability.</x:v>
      </x:c>
      <x:c r="H107" s="32" t="str">
        <x:v>Tuning notes v1</x:v>
      </x:c>
      <x:c r="I107" s="38" t="n">
        <x:v>1</x:v>
      </x:c>
      <x:c r="J107" s="36" t="n">
        <x:v>46229</x:v>
      </x:c>
      <x:c r="K107" s="32" t="str">
        <x:v>P0 Critical</x:v>
      </x:c>
      <x:c r="L107" s="32" t="str">
        <x:v>Not Started</x:v>
      </x:c>
      <x:c r="M107" s="32" t="str">
        <x:v>☐</x:v>
      </x:c>
      <x:c r="N107" s="32" t="str">
        <x:v>Low-slope test</x:v>
      </x:c>
      <x:c r="O107" s="32" t="str">
        <x:v>No</x:v>
      </x:c>
      <x:c r="P107" s="32" t="str"/>
      <x:c r="Q107" s="32" t="str"/>
      <x:c r="R107" s="32" t="str">
        <x:v>Test notes</x:v>
      </x:c>
      <x:c r="S107" s="32" t="str">
        <x:v>Kenny</x:v>
      </x:c>
      <x:c r="T107" s="40" t="n">
        <x:f>IF($M107="☑",1,IF($L107="In Progress",0.5,0))</x:f>
        <x:v>0</x:v>
      </x:c>
      <x:c r="U107" s="32" t="n">
        <x:f>IF($J107="","",$J107-TODAY())</x:f>
        <x:v>38</x:v>
      </x:c>
    </x:row>
    <x:row r="108">
      <x:c r="A108" s="32" t="str">
        <x:v>T104</x:v>
      </x:c>
      <x:c r="B108" s="36" t="n">
        <x:v>46230</x:v>
      </x:c>
      <x:c r="C108" s="32" t="str">
        <x:v>W31</x:v>
      </x:c>
      <x:c r="D108" s="32" t="str">
        <x:v>16. Body &amp; Effects</x:v>
      </x:c>
      <x:c r="E108" s="32" t="str">
        <x:v>Body frame planning</x:v>
      </x:c>
      <x:c r="F108" s="32" t="str">
        <x:v>Evening / focused block</x:v>
      </x:c>
      <x:c r="G108" s="32" t="str">
        <x:v>Design removable/sacrificial body mounting tabs; keep clear of wheels, steering, brake cable.</x:v>
      </x:c>
      <x:c r="H108" s="32" t="str">
        <x:v>Body mount plan</x:v>
      </x:c>
      <x:c r="I108" s="38" t="n">
        <x:v>1</x:v>
      </x:c>
      <x:c r="J108" s="36" t="n">
        <x:v>46230</x:v>
      </x:c>
      <x:c r="K108" s="32" t="str">
        <x:v>P0 Critical</x:v>
      </x:c>
      <x:c r="L108" s="32" t="str">
        <x:v>Not Started</x:v>
      </x:c>
      <x:c r="M108" s="32" t="str">
        <x:v>☐</x:v>
      </x:c>
      <x:c r="N108" s="32" t="str">
        <x:v>Rolling chassis</x:v>
      </x:c>
      <x:c r="O108" s="32" t="str">
        <x:v>No</x:v>
      </x:c>
      <x:c r="P108" s="32" t="str"/>
      <x:c r="Q108" s="32" t="str"/>
      <x:c r="R108" s="32" t="str">
        <x:v>Fusion/as-built</x:v>
      </x:c>
      <x:c r="S108" s="32" t="str">
        <x:v>Kenny</x:v>
      </x:c>
      <x:c r="T108" s="40" t="n">
        <x:f>IF($M108="☑",1,IF($L108="In Progress",0.5,0))</x:f>
        <x:v>0</x:v>
      </x:c>
      <x:c r="U108" s="32" t="n">
        <x:f>IF($J108="","",$J108-TODAY())</x:f>
        <x:v>39</x:v>
      </x:c>
    </x:row>
    <x:row r="109">
      <x:c r="A109" s="32" t="str">
        <x:v>T105</x:v>
      </x:c>
      <x:c r="B109" s="36" t="n">
        <x:v>46230</x:v>
      </x:c>
      <x:c r="C109" s="32" t="str">
        <x:v>W31</x:v>
      </x:c>
      <x:c r="D109" s="32" t="str">
        <x:v>16. Body &amp; Effects</x:v>
      </x:c>
      <x:c r="E109" s="32" t="str">
        <x:v>Body frame planning</x:v>
      </x:c>
      <x:c r="F109" s="32" t="str">
        <x:v>Evening / focused block</x:v>
      </x:c>
      <x:c r="G109" s="32" t="str">
        <x:v>Transfer body panel dimensions to cardboard templates.</x:v>
      </x:c>
      <x:c r="H109" s="32" t="str">
        <x:v>Cardboard templates</x:v>
      </x:c>
      <x:c r="I109" s="38" t="n">
        <x:v>1</x:v>
      </x:c>
      <x:c r="J109" s="36" t="n">
        <x:v>46230</x:v>
      </x:c>
      <x:c r="K109" s="32" t="str">
        <x:v>P1 High</x:v>
      </x:c>
      <x:c r="L109" s="32" t="str">
        <x:v>Not Started</x:v>
      </x:c>
      <x:c r="M109" s="32" t="str">
        <x:v>☐</x:v>
      </x:c>
      <x:c r="N109" s="32" t="str">
        <x:v>Body drawings</x:v>
      </x:c>
      <x:c r="O109" s="32" t="str">
        <x:v>No</x:v>
      </x:c>
      <x:c r="P109" s="32" t="str"/>
      <x:c r="Q109" s="32" t="str"/>
      <x:c r="R109" s="32" t="str">
        <x:v>Workshop</x:v>
      </x:c>
      <x:c r="S109" s="32" t="str">
        <x:v>Kenny</x:v>
      </x:c>
      <x:c r="T109" s="40" t="n">
        <x:f>IF($M109="☑",1,IF($L109="In Progress",0.5,0))</x:f>
        <x:v>0</x:v>
      </x:c>
      <x:c r="U109" s="32" t="n">
        <x:f>IF($J109="","",$J109-TODAY())</x:f>
        <x:v>39</x:v>
      </x:c>
    </x:row>
    <x:row r="110">
      <x:c r="A110" s="32" t="str">
        <x:v>T106</x:v>
      </x:c>
      <x:c r="B110" s="36" t="n">
        <x:v>46231</x:v>
      </x:c>
      <x:c r="C110" s="32" t="str">
        <x:v>W31</x:v>
      </x:c>
      <x:c r="D110" s="32" t="str">
        <x:v>16. Body &amp; Effects</x:v>
      </x:c>
      <x:c r="E110" s="32" t="str">
        <x:v>Body skeleton 1</x:v>
      </x:c>
      <x:c r="F110" s="32" t="str">
        <x:v>Evening / focused block</x:v>
      </x:c>
      <x:c r="G110" s="32" t="str">
        <x:v>Build lightweight body skeleton with correx/foam/cardboard templates; keep upper body hollow/light.</x:v>
      </x:c>
      <x:c r="H110" s="32" t="str">
        <x:v>Body skeleton v0</x:v>
      </x:c>
      <x:c r="I110" s="38" t="n">
        <x:v>1.5</x:v>
      </x:c>
      <x:c r="J110" s="36" t="n">
        <x:v>46231</x:v>
      </x:c>
      <x:c r="K110" s="32" t="str">
        <x:v>P1 High</x:v>
      </x:c>
      <x:c r="L110" s="32" t="str">
        <x:v>Not Started</x:v>
      </x:c>
      <x:c r="M110" s="32" t="str">
        <x:v>☐</x:v>
      </x:c>
      <x:c r="N110" s="32" t="str">
        <x:v>Cardboard templates</x:v>
      </x:c>
      <x:c r="O110" s="32" t="str">
        <x:v>No</x:v>
      </x:c>
      <x:c r="P110" s="32" t="str"/>
      <x:c r="Q110" s="32" t="str"/>
      <x:c r="R110" s="32" t="str">
        <x:v>Workshop</x:v>
      </x:c>
      <x:c r="S110" s="32" t="str">
        <x:v>Kenny</x:v>
      </x:c>
      <x:c r="T110" s="40" t="n">
        <x:f>IF($M110="☑",1,IF($L110="In Progress",0.5,0))</x:f>
        <x:v>0</x:v>
      </x:c>
      <x:c r="U110" s="32" t="n">
        <x:f>IF($J110="","",$J110-TODAY())</x:f>
        <x:v>40</x:v>
      </x:c>
    </x:row>
    <x:row r="111">
      <x:c r="A111" s="32" t="str">
        <x:v>T107</x:v>
      </x:c>
      <x:c r="B111" s="36" t="n">
        <x:v>46231</x:v>
      </x:c>
      <x:c r="C111" s="32" t="str">
        <x:v>W31</x:v>
      </x:c>
      <x:c r="D111" s="32" t="str">
        <x:v>16. Body &amp; Effects</x:v>
      </x:c>
      <x:c r="E111" s="32" t="str">
        <x:v>Body skeleton 1</x:v>
      </x:c>
      <x:c r="F111" s="32" t="str">
        <x:v>Evening / focused block</x:v>
      </x:c>
      <x:c r="G111" s="32" t="str">
        <x:v>Check body does not interfere with driver exit, steering range, or brake access.</x:v>
      </x:c>
      <x:c r="H111" s="32" t="str">
        <x:v>Interference check</x:v>
      </x:c>
      <x:c r="I111" s="38" t="n">
        <x:v>0.7</x:v>
      </x:c>
      <x:c r="J111" s="36" t="n">
        <x:v>46231</x:v>
      </x:c>
      <x:c r="K111" s="32" t="str">
        <x:v>P0 Critical</x:v>
      </x:c>
      <x:c r="L111" s="32" t="str">
        <x:v>Not Started</x:v>
      </x:c>
      <x:c r="M111" s="32" t="str">
        <x:v>☐</x:v>
      </x:c>
      <x:c r="N111" s="32" t="str">
        <x:v>Body skeleton</x:v>
      </x:c>
      <x:c r="O111" s="32" t="str">
        <x:v>No</x:v>
      </x:c>
      <x:c r="P111" s="32" t="str"/>
      <x:c r="Q111" s="32" t="str"/>
      <x:c r="R111" s="32" t="str">
        <x:v>Inspection checklist</x:v>
      </x:c>
      <x:c r="S111" s="32" t="str">
        <x:v>Kenny</x:v>
      </x:c>
      <x:c r="T111" s="40" t="n">
        <x:f>IF($M111="☑",1,IF($L111="In Progress",0.5,0))</x:f>
        <x:v>0</x:v>
      </x:c>
      <x:c r="U111" s="32" t="n">
        <x:f>IF($J111="","",$J111-TODAY())</x:f>
        <x:v>40</x:v>
      </x:c>
    </x:row>
    <x:row r="112">
      <x:c r="A112" s="32" t="str">
        <x:v>T108</x:v>
      </x:c>
      <x:c r="B112" s="36" t="n">
        <x:v>46232</x:v>
      </x:c>
      <x:c r="C112" s="32" t="str">
        <x:v>W31</x:v>
      </x:c>
      <x:c r="D112" s="32" t="str">
        <x:v>16. Body &amp; Effects</x:v>
      </x:c>
      <x:c r="E112" s="32" t="str">
        <x:v>Aero shape as-built</x:v>
      </x:c>
      <x:c r="F112" s="32" t="str">
        <x:v>Evening / focused block</x:v>
      </x:c>
      <x:c r="G112" s="32" t="str">
        <x:v>Fit raked front/heater profile and rear taper/pod; keep surfaces smooth and removable.</x:v>
      </x:c>
      <x:c r="H112" s="32" t="str">
        <x:v>Aero body v0</x:v>
      </x:c>
      <x:c r="I112" s="38" t="n">
        <x:v>1.5</x:v>
      </x:c>
      <x:c r="J112" s="36" t="n">
        <x:v>46232</x:v>
      </x:c>
      <x:c r="K112" s="32" t="str">
        <x:v>P1 High</x:v>
      </x:c>
      <x:c r="L112" s="32" t="str">
        <x:v>Not Started</x:v>
      </x:c>
      <x:c r="M112" s="32" t="str">
        <x:v>☐</x:v>
      </x:c>
      <x:c r="N112" s="32" t="str">
        <x:v>Body skeleton</x:v>
      </x:c>
      <x:c r="O112" s="32" t="str">
        <x:v>No</x:v>
      </x:c>
      <x:c r="P112" s="32" t="str"/>
      <x:c r="Q112" s="32" t="str"/>
      <x:c r="R112" s="32" t="str">
        <x:v>Workshop</x:v>
      </x:c>
      <x:c r="S112" s="32" t="str">
        <x:v>Kenny</x:v>
      </x:c>
      <x:c r="T112" s="40" t="n">
        <x:f>IF($M112="☑",1,IF($L112="In Progress",0.5,0))</x:f>
        <x:v>0</x:v>
      </x:c>
      <x:c r="U112" s="32" t="n">
        <x:f>IF($J112="","",$J112-TODAY())</x:f>
        <x:v>41</x:v>
      </x:c>
    </x:row>
    <x:row r="113">
      <x:c r="A113" s="32" t="str">
        <x:v>T109</x:v>
      </x:c>
      <x:c r="B113" s="36" t="n">
        <x:v>46232</x:v>
      </x:c>
      <x:c r="C113" s="32" t="str">
        <x:v>W31</x:v>
      </x:c>
      <x:c r="D113" s="32" t="str">
        <x:v>16. Body &amp; Effects</x:v>
      </x:c>
      <x:c r="E113" s="32" t="str">
        <x:v>Aero shape as-built</x:v>
      </x:c>
      <x:c r="F113" s="32" t="str">
        <x:v>Evening / focused block</x:v>
      </x:c>
      <x:c r="G113" s="32" t="str">
        <x:v>Compare as-built body to CFD-winning geometry; log deviations and risks.</x:v>
      </x:c>
      <x:c r="H113" s="32" t="str">
        <x:v>Aero as-built log</x:v>
      </x:c>
      <x:c r="I113" s="38" t="n">
        <x:v>0.5</x:v>
      </x:c>
      <x:c r="J113" s="36" t="n">
        <x:v>46232</x:v>
      </x:c>
      <x:c r="K113" s="32" t="str">
        <x:v>P1 High</x:v>
      </x:c>
      <x:c r="L113" s="32" t="str">
        <x:v>Not Started</x:v>
      </x:c>
      <x:c r="M113" s="32" t="str">
        <x:v>☐</x:v>
      </x:c>
      <x:c r="N113" s="32" t="str">
        <x:v>Aero body</x:v>
      </x:c>
      <x:c r="O113" s="32" t="str">
        <x:v>No</x:v>
      </x:c>
      <x:c r="P113" s="32" t="str"/>
      <x:c r="Q113" s="32" t="str"/>
      <x:c r="R113" s="32" t="str">
        <x:v>Sim Runs / notes</x:v>
      </x:c>
      <x:c r="S113" s="32" t="str">
        <x:v>Kenny</x:v>
      </x:c>
      <x:c r="T113" s="40" t="n">
        <x:f>IF($M113="☑",1,IF($L113="In Progress",0.5,0))</x:f>
        <x:v>0</x:v>
      </x:c>
      <x:c r="U113" s="32" t="n">
        <x:f>IF($J113="","",$J113-TODAY())</x:f>
        <x:v>41</x:v>
      </x:c>
    </x:row>
    <x:row r="114">
      <x:c r="A114" s="32" t="str">
        <x:v>T110</x:v>
      </x:c>
      <x:c r="B114" s="36" t="n">
        <x:v>46233</x:v>
      </x:c>
      <x:c r="C114" s="32" t="str">
        <x:v>W31</x:v>
      </x:c>
      <x:c r="D114" s="32" t="str">
        <x:v>16. Body &amp; Effects</x:v>
      </x:c>
      <x:c r="E114" s="32" t="str">
        <x:v>Glow effect prototype 1</x:v>
      </x:c>
      <x:c r="F114" s="32" t="str">
        <x:v>Evening / focused block</x:v>
      </x:c>
      <x:c r="G114" s="32" t="str">
        <x:v>Prototype chosen glow mechanism on bench: panel flip/fabric flutter/manual reveal.</x:v>
      </x:c>
      <x:c r="H114" s="32" t="str">
        <x:v>Effect prototype v0</x:v>
      </x:c>
      <x:c r="I114" s="38" t="n">
        <x:v>1.5</x:v>
      </x:c>
      <x:c r="J114" s="36" t="n">
        <x:v>46233</x:v>
      </x:c>
      <x:c r="K114" s="32" t="str">
        <x:v>P1 High</x:v>
      </x:c>
      <x:c r="L114" s="32" t="str">
        <x:v>Not Started</x:v>
      </x:c>
      <x:c r="M114" s="32" t="str">
        <x:v>☐</x:v>
      </x:c>
      <x:c r="N114" s="32" t="str">
        <x:v>Effect decision</x:v>
      </x:c>
      <x:c r="O114" s="32" t="str">
        <x:v>No</x:v>
      </x:c>
      <x:c r="P114" s="32" t="str"/>
      <x:c r="Q114" s="32" t="str"/>
      <x:c r="R114" s="32" t="str">
        <x:v>Workshop</x:v>
      </x:c>
      <x:c r="S114" s="32" t="str">
        <x:v>Kenny</x:v>
      </x:c>
      <x:c r="T114" s="40" t="n">
        <x:f>IF($M114="☑",1,IF($L114="In Progress",0.5,0))</x:f>
        <x:v>0</x:v>
      </x:c>
      <x:c r="U114" s="32" t="n">
        <x:f>IF($J114="","",$J114-TODAY())</x:f>
        <x:v>42</x:v>
      </x:c>
    </x:row>
    <x:row r="115">
      <x:c r="A115" s="32" t="str">
        <x:v>T111</x:v>
      </x:c>
      <x:c r="B115" s="36" t="n">
        <x:v>46233</x:v>
      </x:c>
      <x:c r="C115" s="32" t="str">
        <x:v>W31</x:v>
      </x:c>
      <x:c r="D115" s="32" t="str">
        <x:v>16. Body &amp; Effects</x:v>
      </x:c>
      <x:c r="E115" s="32" t="str">
        <x:v>Glow effect prototype 1</x:v>
      </x:c>
      <x:c r="F115" s="32" t="str">
        <x:v>Evening / focused block</x:v>
      </x:c>
      <x:c r="G115" s="32" t="str">
        <x:v>Run 10 repeat cycles; log jams, reset time, and failure points.</x:v>
      </x:c>
      <x:c r="H115" s="32" t="str">
        <x:v>Effect reliability log</x:v>
      </x:c>
      <x:c r="I115" s="38" t="n">
        <x:v>0.7</x:v>
      </x:c>
      <x:c r="J115" s="36" t="n">
        <x:v>46233</x:v>
      </x:c>
      <x:c r="K115" s="32" t="str">
        <x:v>P0 Critical</x:v>
      </x:c>
      <x:c r="L115" s="32" t="str">
        <x:v>Not Started</x:v>
      </x:c>
      <x:c r="M115" s="32" t="str">
        <x:v>☐</x:v>
      </x:c>
      <x:c r="N115" s="32" t="str">
        <x:v>Effect prototype</x:v>
      </x:c>
      <x:c r="O115" s="32" t="str">
        <x:v>No</x:v>
      </x:c>
      <x:c r="P115" s="32" t="str"/>
      <x:c r="Q115" s="32" t="str"/>
      <x:c r="R115" s="32" t="str">
        <x:v>Risk register</x:v>
      </x:c>
      <x:c r="S115" s="32" t="str">
        <x:v>Kenny</x:v>
      </x:c>
      <x:c r="T115" s="40" t="n">
        <x:f>IF($M115="☑",1,IF($L115="In Progress",0.5,0))</x:f>
        <x:v>0</x:v>
      </x:c>
      <x:c r="U115" s="32" t="n">
        <x:f>IF($J115="","",$J115-TODAY())</x:f>
        <x:v>42</x:v>
      </x:c>
    </x:row>
    <x:row r="116">
      <x:c r="A116" s="32" t="str">
        <x:v>T112</x:v>
      </x:c>
      <x:c r="B116" s="36" t="n">
        <x:v>46234</x:v>
      </x:c>
      <x:c r="C116" s="32" t="str">
        <x:v>W31</x:v>
      </x:c>
      <x:c r="D116" s="32" t="str">
        <x:v>16. Body &amp; Effects</x:v>
      </x:c>
      <x:c r="E116" s="32" t="str">
        <x:v>Effect integration planning</x:v>
      </x:c>
      <x:c r="F116" s="32" t="str">
        <x:v>Evening / focused block</x:v>
      </x:c>
      <x:c r="G116" s="32" t="str">
        <x:v>Plan mounting route for glow effect with positive stops, retention, and wheel/steering clearance.</x:v>
      </x:c>
      <x:c r="H116" s="32" t="str">
        <x:v>Effect mount plan</x:v>
      </x:c>
      <x:c r="I116" s="38" t="n">
        <x:v>1</x:v>
      </x:c>
      <x:c r="J116" s="36" t="n">
        <x:v>46234</x:v>
      </x:c>
      <x:c r="K116" s="32" t="str">
        <x:v>P0 Critical</x:v>
      </x:c>
      <x:c r="L116" s="32" t="str">
        <x:v>Not Started</x:v>
      </x:c>
      <x:c r="M116" s="32" t="str">
        <x:v>☐</x:v>
      </x:c>
      <x:c r="N116" s="32" t="str">
        <x:v>Effect prototype</x:v>
      </x:c>
      <x:c r="O116" s="32" t="str">
        <x:v>No</x:v>
      </x:c>
      <x:c r="P116" s="32" t="str"/>
      <x:c r="Q116" s="32" t="str"/>
      <x:c r="R116" s="32" t="str">
        <x:v>Workshop</x:v>
      </x:c>
      <x:c r="S116" s="32" t="str">
        <x:v>Kenny</x:v>
      </x:c>
      <x:c r="T116" s="40" t="n">
        <x:f>IF($M116="☑",1,IF($L116="In Progress",0.5,0))</x:f>
        <x:v>0</x:v>
      </x:c>
      <x:c r="U116" s="32" t="n">
        <x:f>IF($J116="","",$J116-TODAY())</x:f>
        <x:v>43</x:v>
      </x:c>
    </x:row>
    <x:row r="117">
      <x:c r="A117" s="32" t="str">
        <x:v>T113</x:v>
      </x:c>
      <x:c r="B117" s="36" t="n">
        <x:v>46234</x:v>
      </x:c>
      <x:c r="C117" s="32" t="str">
        <x:v>W31</x:v>
      </x:c>
      <x:c r="D117" s="32" t="str">
        <x:v>16. Body &amp; Effects</x:v>
      </x:c>
      <x:c r="E117" s="32" t="str">
        <x:v>Effect integration planning</x:v>
      </x:c>
      <x:c r="F117" s="32" t="str">
        <x:v>Evening / focused block</x:v>
      </x:c>
      <x:c r="G117" s="32" t="str">
        <x:v>Decision: keep automatic effect, switch to manual backup, or simplify.</x:v>
      </x:c>
      <x:c r="H117" s="32" t="str">
        <x:v>Effect integration decision</x:v>
      </x:c>
      <x:c r="I117" s="38" t="n">
        <x:v>0.5</x:v>
      </x:c>
      <x:c r="J117" s="36" t="n">
        <x:v>46234</x:v>
      </x:c>
      <x:c r="K117" s="32" t="str">
        <x:v>P0 Critical</x:v>
      </x:c>
      <x:c r="L117" s="32" t="str">
        <x:v>Not Started</x:v>
      </x:c>
      <x:c r="M117" s="32" t="str">
        <x:v>☐</x:v>
      </x:c>
      <x:c r="N117" s="32" t="str">
        <x:v>Effect reliability log</x:v>
      </x:c>
      <x:c r="O117" s="32" t="str">
        <x:v>Yes</x:v>
      </x:c>
      <x:c r="P117" s="32" t="str">
        <x:v>Is the effect reliable enough for the cart?</x:v>
      </x:c>
      <x:c r="Q117" s="32" t="str"/>
      <x:c r="R117" s="32" t="str">
        <x:v>Decision Log</x:v>
      </x:c>
      <x:c r="S117" s="32" t="str">
        <x:v>Kenny</x:v>
      </x:c>
      <x:c r="T117" s="40" t="n">
        <x:f>IF($M117="☑",1,IF($L117="In Progress",0.5,0))</x:f>
        <x:v>0</x:v>
      </x:c>
      <x:c r="U117" s="32" t="n">
        <x:f>IF($J117="","",$J117-TODAY())</x:f>
        <x:v>43</x:v>
      </x:c>
    </x:row>
    <x:row r="118">
      <x:c r="A118" s="32" t="str">
        <x:v>T114</x:v>
      </x:c>
      <x:c r="B118" s="36" t="n">
        <x:v>46235</x:v>
      </x:c>
      <x:c r="C118" s="32" t="str">
        <x:v>W31</x:v>
      </x:c>
      <x:c r="D118" s="32" t="str">
        <x:v>16. Body &amp; Effects</x:v>
      </x:c>
      <x:c r="E118" s="32" t="str">
        <x:v>Body/effect integration weekend</x:v>
      </x:c>
      <x:c r="F118" s="32" t="str">
        <x:v>Weekend build block</x:v>
      </x:c>
      <x:c r="G118" s="32" t="str">
        <x:v>Mount body panels with service access and sacrificial breakaway logic.</x:v>
      </x:c>
      <x:c r="H118" s="32" t="str">
        <x:v>Body mounted v1</x:v>
      </x:c>
      <x:c r="I118" s="38" t="n">
        <x:v>2</x:v>
      </x:c>
      <x:c r="J118" s="36" t="n">
        <x:v>46235</x:v>
      </x:c>
      <x:c r="K118" s="32" t="str">
        <x:v>P1 High</x:v>
      </x:c>
      <x:c r="L118" s="32" t="str">
        <x:v>Not Started</x:v>
      </x:c>
      <x:c r="M118" s="32" t="str">
        <x:v>☐</x:v>
      </x:c>
      <x:c r="N118" s="32" t="str">
        <x:v>Body mount plan</x:v>
      </x:c>
      <x:c r="O118" s="32" t="str">
        <x:v>No</x:v>
      </x:c>
      <x:c r="P118" s="32" t="str"/>
      <x:c r="Q118" s="32" t="str"/>
      <x:c r="R118" s="32" t="str">
        <x:v>Workshop</x:v>
      </x:c>
      <x:c r="S118" s="32" t="str">
        <x:v>Kenny</x:v>
      </x:c>
      <x:c r="T118" s="40" t="n">
        <x:f>IF($M118="☑",1,IF($L118="In Progress",0.5,0))</x:f>
        <x:v>0</x:v>
      </x:c>
      <x:c r="U118" s="32" t="n">
        <x:f>IF($J118="","",$J118-TODAY())</x:f>
        <x:v>44</x:v>
      </x:c>
    </x:row>
    <x:row r="119">
      <x:c r="A119" s="32" t="str">
        <x:v>T115</x:v>
      </x:c>
      <x:c r="B119" s="36" t="n">
        <x:v>46235</x:v>
      </x:c>
      <x:c r="C119" s="32" t="str">
        <x:v>W31</x:v>
      </x:c>
      <x:c r="D119" s="32" t="str">
        <x:v>16. Body &amp; Effects</x:v>
      </x:c>
      <x:c r="E119" s="32" t="str">
        <x:v>Body/effect integration weekend</x:v>
      </x:c>
      <x:c r="F119" s="32" t="str">
        <x:v>Weekend build block</x:v>
      </x:c>
      <x:c r="G119" s="32" t="str">
        <x:v>Mount glow effect and run push-test airflow/manual trigger tests.</x:v>
      </x:c>
      <x:c r="H119" s="32" t="str">
        <x:v>Effect mounted v1</x:v>
      </x:c>
      <x:c r="I119" s="38" t="n">
        <x:v>1.5</x:v>
      </x:c>
      <x:c r="J119" s="36" t="n">
        <x:v>46235</x:v>
      </x:c>
      <x:c r="K119" s="32" t="str">
        <x:v>P1 High</x:v>
      </x:c>
      <x:c r="L119" s="32" t="str">
        <x:v>Not Started</x:v>
      </x:c>
      <x:c r="M119" s="32" t="str">
        <x:v>☐</x:v>
      </x:c>
      <x:c r="N119" s="32" t="str">
        <x:v>Effect decision</x:v>
      </x:c>
      <x:c r="O119" s="32" t="str">
        <x:v>No</x:v>
      </x:c>
      <x:c r="P119" s="32" t="str"/>
      <x:c r="Q119" s="32" t="str"/>
      <x:c r="R119" s="32" t="str">
        <x:v>Test notes</x:v>
      </x:c>
      <x:c r="S119" s="32" t="str">
        <x:v>Kenny</x:v>
      </x:c>
      <x:c r="T119" s="40" t="n">
        <x:f>IF($M119="☑",1,IF($L119="In Progress",0.5,0))</x:f>
        <x:v>0</x:v>
      </x:c>
      <x:c r="U119" s="32" t="n">
        <x:f>IF($J119="","",$J119-TODAY())</x:f>
        <x:v>44</x:v>
      </x:c>
    </x:row>
    <x:row r="120">
      <x:c r="A120" s="32" t="str">
        <x:v>T116</x:v>
      </x:c>
      <x:c r="B120" s="36" t="n">
        <x:v>46235</x:v>
      </x:c>
      <x:c r="C120" s="32" t="str">
        <x:v>W31</x:v>
      </x:c>
      <x:c r="D120" s="32" t="str">
        <x:v>16. Body &amp; Effects</x:v>
      </x:c>
      <x:c r="E120" s="32" t="str">
        <x:v>Body/effect integration weekend</x:v>
      </x:c>
      <x:c r="F120" s="32" t="str">
        <x:v>Weekend build block</x:v>
      </x:c>
      <x:c r="G120" s="32" t="str">
        <x:v>Capture private build update; decide whether public teaser is still premature.</x:v>
      </x:c>
      <x:c r="H120" s="32" t="str">
        <x:v>Private update draft</x:v>
      </x:c>
      <x:c r="I120" s="38" t="n">
        <x:v>0.5</x:v>
      </x:c>
      <x:c r="J120" s="36" t="n">
        <x:v>46235</x:v>
      </x:c>
      <x:c r="K120" s="32" t="str">
        <x:v>P3 Low</x:v>
      </x:c>
      <x:c r="L120" s="32" t="str">
        <x:v>Not Started</x:v>
      </x:c>
      <x:c r="M120" s="32" t="str">
        <x:v>☐</x:v>
      </x:c>
      <x:c r="N120" s="32" t="str">
        <x:v>Body mounted</x:v>
      </x:c>
      <x:c r="O120" s="32" t="str">
        <x:v>Yes</x:v>
      </x:c>
      <x:c r="P120" s="32" t="str">
        <x:v>Public teaser now or wait until rolling tests pass?</x:v>
      </x:c>
      <x:c r="Q120" s="32" t="str"/>
      <x:c r="R120" s="32" t="str">
        <x:v>Build in Public Later</x:v>
      </x:c>
      <x:c r="S120" s="32" t="str">
        <x:v>Kenny</x:v>
      </x:c>
      <x:c r="T120" s="40" t="n">
        <x:f>IF($M120="☑",1,IF($L120="In Progress",0.5,0))</x:f>
        <x:v>0</x:v>
      </x:c>
      <x:c r="U120" s="32" t="n">
        <x:f>IF($J120="","",$J120-TODAY())</x:f>
        <x:v>44</x:v>
      </x:c>
    </x:row>
    <x:row r="121">
      <x:c r="A121" s="32" t="str">
        <x:v>T117</x:v>
      </x:c>
      <x:c r="B121" s="36" t="n">
        <x:v>46236</x:v>
      </x:c>
      <x:c r="C121" s="32" t="str">
        <x:v>W31</x:v>
      </x:c>
      <x:c r="D121" s="32" t="str">
        <x:v>16. Body &amp; Effects</x:v>
      </x:c>
      <x:c r="E121" s="32" t="str">
        <x:v>Inspection-style review</x:v>
      </x:c>
      <x:c r="F121" s="32" t="str">
        <x:v>Weekend build block</x:v>
      </x:c>
      <x:c r="G121" s="32" t="str">
        <x:v>Run inspection-style checklist: size, weight estimate, no battery/stored energy, steering/brakes, clearances.</x:v>
      </x:c>
      <x:c r="H121" s="32" t="str">
        <x:v>Inspection dry run 1</x:v>
      </x:c>
      <x:c r="I121" s="38" t="n">
        <x:v>1</x:v>
      </x:c>
      <x:c r="J121" s="36" t="n">
        <x:v>46236</x:v>
      </x:c>
      <x:c r="K121" s="32" t="str">
        <x:v>P0 Critical</x:v>
      </x:c>
      <x:c r="L121" s="32" t="str">
        <x:v>Not Started</x:v>
      </x:c>
      <x:c r="M121" s="32" t="str">
        <x:v>☐</x:v>
      </x:c>
      <x:c r="N121" s="32" t="str">
        <x:v>Body + chassis</x:v>
      </x:c>
      <x:c r="O121" s="32" t="str">
        <x:v>No</x:v>
      </x:c>
      <x:c r="P121" s="32" t="str"/>
      <x:c r="Q121" s="32" t="str"/>
      <x:c r="R121" s="32" t="str">
        <x:v>Build Readiness Gate</x:v>
      </x:c>
      <x:c r="S121" s="32" t="str">
        <x:v>Kenny</x:v>
      </x:c>
      <x:c r="T121" s="40" t="n">
        <x:f>IF($M121="☑",1,IF($L121="In Progress",0.5,0))</x:f>
        <x:v>0</x:v>
      </x:c>
      <x:c r="U121" s="32" t="n">
        <x:f>IF($J121="","",$J121-TODAY())</x:f>
        <x:v>45</x:v>
      </x:c>
    </x:row>
    <x:row r="122">
      <x:c r="A122" s="32" t="str">
        <x:v>T118</x:v>
      </x:c>
      <x:c r="B122" s="36" t="n">
        <x:v>46236</x:v>
      </x:c>
      <x:c r="C122" s="32" t="str">
        <x:v>W31</x:v>
      </x:c>
      <x:c r="D122" s="32" t="str">
        <x:v>16. Body &amp; Effects</x:v>
      </x:c>
      <x:c r="E122" s="32" t="str">
        <x:v>Inspection-style review</x:v>
      </x:c>
      <x:c r="F122" s="32" t="str">
        <x:v>Weekend build block</x:v>
      </x:c>
      <x:c r="G122" s="32" t="str">
        <x:v>Remove or redesign any decoration/body pieces that can jam wheels or steering.</x:v>
      </x:c>
      <x:c r="H122" s="32" t="str">
        <x:v>Safety cleanup list</x:v>
      </x:c>
      <x:c r="I122" s="38" t="n">
        <x:v>1</x:v>
      </x:c>
      <x:c r="J122" s="36" t="n">
        <x:v>46236</x:v>
      </x:c>
      <x:c r="K122" s="32" t="str">
        <x:v>P0 Critical</x:v>
      </x:c>
      <x:c r="L122" s="32" t="str">
        <x:v>Not Started</x:v>
      </x:c>
      <x:c r="M122" s="32" t="str">
        <x:v>☐</x:v>
      </x:c>
      <x:c r="N122" s="32" t="str">
        <x:v>Inspection dry run</x:v>
      </x:c>
      <x:c r="O122" s="32" t="str">
        <x:v>No</x:v>
      </x:c>
      <x:c r="P122" s="32" t="str"/>
      <x:c r="Q122" s="32" t="str"/>
      <x:c r="R122" s="32" t="str">
        <x:v>Workshop</x:v>
      </x:c>
      <x:c r="S122" s="32" t="str">
        <x:v>Kenny</x:v>
      </x:c>
      <x:c r="T122" s="40" t="n">
        <x:f>IF($M122="☑",1,IF($L122="In Progress",0.5,0))</x:f>
        <x:v>0</x:v>
      </x:c>
      <x:c r="U122" s="32" t="n">
        <x:f>IF($J122="","",$J122-TODAY())</x:f>
        <x:v>45</x:v>
      </x:c>
    </x:row>
    <x:row r="123">
      <x:c r="A123" s="32" t="str">
        <x:v>T119</x:v>
      </x:c>
      <x:c r="B123" s="36" t="n">
        <x:v>46237</x:v>
      </x:c>
      <x:c r="C123" s="32" t="str">
        <x:v>W32</x:v>
      </x:c>
      <x:c r="D123" s="32" t="str">
        <x:v>17. Finish &amp; Livery</x:v>
      </x:c>
      <x:c r="E123" s="32" t="str">
        <x:v>Surface finishing plan</x:v>
      </x:c>
      <x:c r="F123" s="32" t="str">
        <x:v>Evening / focused block</x:v>
      </x:c>
      <x:c r="G123" s="32" t="str">
        <x:v>Sand/trim body panels, tape seams, and mark access panels; do not permanently seal critical areas.</x:v>
      </x:c>
      <x:c r="H123" s="32" t="str">
        <x:v>Body finish prep</x:v>
      </x:c>
      <x:c r="I123" s="38" t="n">
        <x:v>1.2</x:v>
      </x:c>
      <x:c r="J123" s="36" t="n">
        <x:v>46237</x:v>
      </x:c>
      <x:c r="K123" s="32" t="str">
        <x:v>P2 Medium</x:v>
      </x:c>
      <x:c r="L123" s="32" t="str">
        <x:v>Not Started</x:v>
      </x:c>
      <x:c r="M123" s="32" t="str">
        <x:v>☐</x:v>
      </x:c>
      <x:c r="N123" s="32" t="str">
        <x:v>Inspection dry run</x:v>
      </x:c>
      <x:c r="O123" s="32" t="str">
        <x:v>No</x:v>
      </x:c>
      <x:c r="P123" s="32" t="str"/>
      <x:c r="Q123" s="32" t="str"/>
      <x:c r="R123" s="32" t="str">
        <x:v>Workshop</x:v>
      </x:c>
      <x:c r="S123" s="32" t="str">
        <x:v>Kenny</x:v>
      </x:c>
      <x:c r="T123" s="40" t="n">
        <x:f>IF($M123="☑",1,IF($L123="In Progress",0.5,0))</x:f>
        <x:v>0</x:v>
      </x:c>
      <x:c r="U123" s="32" t="n">
        <x:f>IF($J123="","",$J123-TODAY())</x:f>
        <x:v>46</x:v>
      </x:c>
    </x:row>
    <x:row r="124">
      <x:c r="A124" s="32" t="str">
        <x:v>T120</x:v>
      </x:c>
      <x:c r="B124" s="36" t="n">
        <x:v>46237</x:v>
      </x:c>
      <x:c r="C124" s="32" t="str">
        <x:v>W32</x:v>
      </x:c>
      <x:c r="D124" s="32" t="str">
        <x:v>17. Finish &amp; Livery</x:v>
      </x:c>
      <x:c r="E124" s="32" t="str">
        <x:v>Surface finishing plan</x:v>
      </x:c>
      <x:c r="F124" s="32" t="str">
        <x:v>Evening / focused block</x:v>
      </x:c>
      <x:c r="G124" s="32" t="str">
        <x:v>Draft livery layout with sponsor-safe placeholder zones and no logo commitment until approved.</x:v>
      </x:c>
      <x:c r="H124" s="32" t="str">
        <x:v>Livery mockup v0</x:v>
      </x:c>
      <x:c r="I124" s="38" t="n">
        <x:v>0.8</x:v>
      </x:c>
      <x:c r="J124" s="36" t="n">
        <x:v>46237</x:v>
      </x:c>
      <x:c r="K124" s="32" t="str">
        <x:v>P2 Medium</x:v>
      </x:c>
      <x:c r="L124" s="32" t="str">
        <x:v>Not Started</x:v>
      </x:c>
      <x:c r="M124" s="32" t="str">
        <x:v>☐</x:v>
      </x:c>
      <x:c r="N124" s="32" t="str">
        <x:v>Sponsor status</x:v>
      </x:c>
      <x:c r="O124" s="32" t="str">
        <x:v>No</x:v>
      </x:c>
      <x:c r="P124" s="32" t="str"/>
      <x:c r="Q124" s="32" t="str"/>
      <x:c r="R124" s="32" t="str">
        <x:v>Design file</x:v>
      </x:c>
      <x:c r="S124" s="32" t="str">
        <x:v>Kenny</x:v>
      </x:c>
      <x:c r="T124" s="40" t="n">
        <x:f>IF($M124="☑",1,IF($L124="In Progress",0.5,0))</x:f>
        <x:v>0</x:v>
      </x:c>
      <x:c r="U124" s="32" t="n">
        <x:f>IF($J124="","",$J124-TODAY())</x:f>
        <x:v>46</x:v>
      </x:c>
    </x:row>
    <x:row r="125">
      <x:c r="A125" s="32" t="str">
        <x:v>T121</x:v>
      </x:c>
      <x:c r="B125" s="36" t="n">
        <x:v>46238</x:v>
      </x:c>
      <x:c r="C125" s="32" t="str">
        <x:v>W32</x:v>
      </x:c>
      <x:c r="D125" s="32" t="str">
        <x:v>17. Finish &amp; Livery</x:v>
      </x:c>
      <x:c r="E125" s="32" t="str">
        <x:v>Skit + costume integration</x:v>
      </x:c>
      <x:c r="F125" s="32" t="str">
        <x:v>Evening / focused block</x:v>
      </x:c>
      <x:c r="G125" s="32" t="str">
        <x:v>Fit helmet/protective clothing inside gas-cylinder costume concept; verify vision and movement.</x:v>
      </x:c>
      <x:c r="H125" s="32" t="str">
        <x:v>Costume safety check</x:v>
      </x:c>
      <x:c r="I125" s="38" t="n">
        <x:v>1</x:v>
      </x:c>
      <x:c r="J125" s="36" t="n">
        <x:v>46238</x:v>
      </x:c>
      <x:c r="K125" s="32" t="str">
        <x:v>P0 Critical</x:v>
      </x:c>
      <x:c r="L125" s="32" t="str">
        <x:v>Not Started</x:v>
      </x:c>
      <x:c r="M125" s="32" t="str">
        <x:v>☐</x:v>
      </x:c>
      <x:c r="N125" s="32" t="str">
        <x:v>Driver envelope</x:v>
      </x:c>
      <x:c r="O125" s="32" t="str">
        <x:v>No</x:v>
      </x:c>
      <x:c r="P125" s="32" t="str"/>
      <x:c r="Q125" s="32" t="str"/>
      <x:c r="R125" s="32" t="str">
        <x:v>Costume notes</x:v>
      </x:c>
      <x:c r="S125" s="32" t="str">
        <x:v>Kenny</x:v>
      </x:c>
      <x:c r="T125" s="40" t="n">
        <x:f>IF($M125="☑",1,IF($L125="In Progress",0.5,0))</x:f>
        <x:v>0</x:v>
      </x:c>
      <x:c r="U125" s="32" t="n">
        <x:f>IF($J125="","",$J125-TODAY())</x:f>
        <x:v>47</x:v>
      </x:c>
    </x:row>
    <x:row r="126">
      <x:c r="A126" s="32" t="str">
        <x:v>T122</x:v>
      </x:c>
      <x:c r="B126" s="36" t="n">
        <x:v>46238</x:v>
      </x:c>
      <x:c r="C126" s="32" t="str">
        <x:v>W32</x:v>
      </x:c>
      <x:c r="D126" s="32" t="str">
        <x:v>17. Finish &amp; Livery</x:v>
      </x:c>
      <x:c r="E126" s="32" t="str">
        <x:v>Skit + costume integration</x:v>
      </x:c>
      <x:c r="F126" s="32" t="str">
        <x:v>Evening / focused block</x:v>
      </x:c>
      <x:c r="G126" s="32" t="str">
        <x:v>Write/refine 30-second start-line skit with roles for up to five team members.</x:v>
      </x:c>
      <x:c r="H126" s="32" t="str">
        <x:v>Skit script v1</x:v>
      </x:c>
      <x:c r="I126" s="38" t="n">
        <x:v>0.8</x:v>
      </x:c>
      <x:c r="J126" s="36" t="n">
        <x:v>46238</x:v>
      </x:c>
      <x:c r="K126" s="32" t="str">
        <x:v>P1 High</x:v>
      </x:c>
      <x:c r="L126" s="32" t="str">
        <x:v>Not Started</x:v>
      </x:c>
      <x:c r="M126" s="32" t="str">
        <x:v>☐</x:v>
      </x:c>
      <x:c r="N126" s="32" t="str">
        <x:v>Pitch draft</x:v>
      </x:c>
      <x:c r="O126" s="32" t="str">
        <x:v>No</x:v>
      </x:c>
      <x:c r="P126" s="32" t="str"/>
      <x:c r="Q126" s="32" t="str"/>
      <x:c r="R126" s="32" t="str">
        <x:v>Skit notes</x:v>
      </x:c>
      <x:c r="S126" s="32" t="str">
        <x:v>Kenny</x:v>
      </x:c>
      <x:c r="T126" s="40" t="n">
        <x:f>IF($M126="☑",1,IF($L126="In Progress",0.5,0))</x:f>
        <x:v>0</x:v>
      </x:c>
      <x:c r="U126" s="32" t="n">
        <x:f>IF($J126="","",$J126-TODAY())</x:f>
        <x:v>47</x:v>
      </x:c>
    </x:row>
    <x:row r="127">
      <x:c r="A127" s="32" t="str">
        <x:v>T123</x:v>
      </x:c>
      <x:c r="B127" s="36" t="n">
        <x:v>46239</x:v>
      </x:c>
      <x:c r="C127" s="32" t="str">
        <x:v>W32</x:v>
      </x:c>
      <x:c r="D127" s="32" t="str">
        <x:v>17. Finish &amp; Livery</x:v>
      </x:c>
      <x:c r="E127" s="32" t="str">
        <x:v>Weight audit 1</x:v>
      </x:c>
      <x:c r="F127" s="32" t="str">
        <x:v>Evening / focused block</x:v>
      </x:c>
      <x:c r="G127" s="32" t="str">
        <x:v>Weigh rolling chassis/body/components separately; compare to 80 kg max excluding driver.</x:v>
      </x:c>
      <x:c r="H127" s="32" t="str">
        <x:v>Weight audit 1</x:v>
      </x:c>
      <x:c r="I127" s="38" t="n">
        <x:v>1</x:v>
      </x:c>
      <x:c r="J127" s="36" t="n">
        <x:v>46239</x:v>
      </x:c>
      <x:c r="K127" s="32" t="str">
        <x:v>P0 Critical</x:v>
      </x:c>
      <x:c r="L127" s="32" t="str">
        <x:v>Not Started</x:v>
      </x:c>
      <x:c r="M127" s="32" t="str">
        <x:v>☐</x:v>
      </x:c>
      <x:c r="N127" s="32" t="str">
        <x:v>Body mounted</x:v>
      </x:c>
      <x:c r="O127" s="32" t="str">
        <x:v>No</x:v>
      </x:c>
      <x:c r="P127" s="32" t="str"/>
      <x:c r="Q127" s="32" t="str"/>
      <x:c r="R127" s="32" t="str">
        <x:v>Mass budget</x:v>
      </x:c>
      <x:c r="S127" s="32" t="str">
        <x:v>Kenny</x:v>
      </x:c>
      <x:c r="T127" s="40" t="n">
        <x:f>IF($M127="☑",1,IF($L127="In Progress",0.5,0))</x:f>
        <x:v>0</x:v>
      </x:c>
      <x:c r="U127" s="32" t="n">
        <x:f>IF($J127="","",$J127-TODAY())</x:f>
        <x:v>48</x:v>
      </x:c>
    </x:row>
    <x:row r="128">
      <x:c r="A128" s="32" t="str">
        <x:v>T124</x:v>
      </x:c>
      <x:c r="B128" s="36" t="n">
        <x:v>46239</x:v>
      </x:c>
      <x:c r="C128" s="32" t="str">
        <x:v>W32</x:v>
      </x:c>
      <x:c r="D128" s="32" t="str">
        <x:v>17. Finish &amp; Livery</x:v>
      </x:c>
      <x:c r="E128" s="32" t="str">
        <x:v>Weight audit 1</x:v>
      </x:c>
      <x:c r="F128" s="32" t="str">
        <x:v>Evening / focused block</x:v>
      </x:c>
      <x:c r="G128" s="32" t="str">
        <x:v>Make cut/remove/rebuild list for heavy or high-mounted components.</x:v>
      </x:c>
      <x:c r="H128" s="32" t="str">
        <x:v>Weight reduction list</x:v>
      </x:c>
      <x:c r="I128" s="38" t="n">
        <x:v>0.8</x:v>
      </x:c>
      <x:c r="J128" s="36" t="n">
        <x:v>46239</x:v>
      </x:c>
      <x:c r="K128" s="32" t="str">
        <x:v>P1 High</x:v>
      </x:c>
      <x:c r="L128" s="32" t="str">
        <x:v>Not Started</x:v>
      </x:c>
      <x:c r="M128" s="32" t="str">
        <x:v>☐</x:v>
      </x:c>
      <x:c r="N128" s="32" t="str">
        <x:v>Weight audit</x:v>
      </x:c>
      <x:c r="O128" s="32" t="str">
        <x:v>Yes</x:v>
      </x:c>
      <x:c r="P128" s="32" t="str">
        <x:v>Where can weight be removed with least safety penalty?</x:v>
      </x:c>
      <x:c r="Q128" s="32" t="str"/>
      <x:c r="R128" s="32" t="str">
        <x:v>Decision Log</x:v>
      </x:c>
      <x:c r="S128" s="32" t="str">
        <x:v>Kenny</x:v>
      </x:c>
      <x:c r="T128" s="40" t="n">
        <x:f>IF($M128="☑",1,IF($L128="In Progress",0.5,0))</x:f>
        <x:v>0</x:v>
      </x:c>
      <x:c r="U128" s="32" t="n">
        <x:f>IF($J128="","",$J128-TODAY())</x:f>
        <x:v>48</x:v>
      </x:c>
    </x:row>
    <x:row r="129">
      <x:c r="A129" s="32" t="str">
        <x:v>T125</x:v>
      </x:c>
      <x:c r="B129" s="36" t="n">
        <x:v>46240</x:v>
      </x:c>
      <x:c r="C129" s="32" t="str">
        <x:v>W32</x:v>
      </x:c>
      <x:c r="D129" s="32" t="str">
        <x:v>17. Finish &amp; Livery</x:v>
      </x:c>
      <x:c r="E129" s="32" t="str">
        <x:v>Brake/steering audit</x:v>
      </x:c>
      <x:c r="F129" s="32" t="str">
        <x:v>Evening / focused block</x:v>
      </x:c>
      <x:c r="G129" s="32" t="str">
        <x:v>Inspect steering fasteners, column support, tie rods, wheel clearance, and full-lock behavior.</x:v>
      </x:c>
      <x:c r="H129" s="32" t="str">
        <x:v>Steering audit 1</x:v>
      </x:c>
      <x:c r="I129" s="38" t="n">
        <x:v>0.8</x:v>
      </x:c>
      <x:c r="J129" s="36" t="n">
        <x:v>46240</x:v>
      </x:c>
      <x:c r="K129" s="32" t="str">
        <x:v>P0 Critical</x:v>
      </x:c>
      <x:c r="L129" s="32" t="str">
        <x:v>Not Started</x:v>
      </x:c>
      <x:c r="M129" s="32" t="str">
        <x:v>☐</x:v>
      </x:c>
      <x:c r="N129" s="32" t="str">
        <x:v>Body mounted</x:v>
      </x:c>
      <x:c r="O129" s="32" t="str">
        <x:v>No</x:v>
      </x:c>
      <x:c r="P129" s="32" t="str"/>
      <x:c r="Q129" s="32" t="str"/>
      <x:c r="R129" s="32" t="str">
        <x:v>Inspection checklist</x:v>
      </x:c>
      <x:c r="S129" s="32" t="str">
        <x:v>Kenny</x:v>
      </x:c>
      <x:c r="T129" s="40" t="n">
        <x:f>IF($M129="☑",1,IF($L129="In Progress",0.5,0))</x:f>
        <x:v>0</x:v>
      </x:c>
      <x:c r="U129" s="32" t="n">
        <x:f>IF($J129="","",$J129-TODAY())</x:f>
        <x:v>49</x:v>
      </x:c>
    </x:row>
    <x:row r="130">
      <x:c r="A130" s="32" t="str">
        <x:v>T126</x:v>
      </x:c>
      <x:c r="B130" s="36" t="n">
        <x:v>46240</x:v>
      </x:c>
      <x:c r="C130" s="32" t="str">
        <x:v>W32</x:v>
      </x:c>
      <x:c r="D130" s="32" t="str">
        <x:v>17. Finish &amp; Livery</x:v>
      </x:c>
      <x:c r="E130" s="32" t="str">
        <x:v>Brake/steering audit</x:v>
      </x:c>
      <x:c r="F130" s="32" t="str">
        <x:v>Evening / focused block</x:v>
      </x:c>
      <x:c r="G130" s="32" t="str">
        <x:v>Inspect brake mounts, cables, lever travel, pad contact, and backup drag-brake if installed.</x:v>
      </x:c>
      <x:c r="H130" s="32" t="str">
        <x:v>Brake audit 1</x:v>
      </x:c>
      <x:c r="I130" s="38" t="n">
        <x:v>0.8</x:v>
      </x:c>
      <x:c r="J130" s="36" t="n">
        <x:v>46240</x:v>
      </x:c>
      <x:c r="K130" s="32" t="str">
        <x:v>P0 Critical</x:v>
      </x:c>
      <x:c r="L130" s="32" t="str">
        <x:v>Not Started</x:v>
      </x:c>
      <x:c r="M130" s="32" t="str">
        <x:v>☐</x:v>
      </x:c>
      <x:c r="N130" s="32" t="str">
        <x:v>Body mounted</x:v>
      </x:c>
      <x:c r="O130" s="32" t="str">
        <x:v>No</x:v>
      </x:c>
      <x:c r="P130" s="32" t="str"/>
      <x:c r="Q130" s="32" t="str"/>
      <x:c r="R130" s="32" t="str">
        <x:v>Inspection checklist</x:v>
      </x:c>
      <x:c r="S130" s="32" t="str">
        <x:v>Kenny</x:v>
      </x:c>
      <x:c r="T130" s="40" t="n">
        <x:f>IF($M130="☑",1,IF($L130="In Progress",0.5,0))</x:f>
        <x:v>0</x:v>
      </x:c>
      <x:c r="U130" s="32" t="n">
        <x:f>IF($J130="","",$J130-TODAY())</x:f>
        <x:v>49</x:v>
      </x:c>
    </x:row>
    <x:row r="131">
      <x:c r="A131" s="32" t="str">
        <x:v>T127</x:v>
      </x:c>
      <x:c r="B131" s="36" t="n">
        <x:v>46241</x:v>
      </x:c>
      <x:c r="C131" s="32" t="str">
        <x:v>W32</x:v>
      </x:c>
      <x:c r="D131" s="32" t="str">
        <x:v>17. Finish &amp; Livery</x:v>
      </x:c>
      <x:c r="E131" s="32" t="str">
        <x:v>Paint/livery prep</x:v>
      </x:c>
      <x:c r="F131" s="32" t="str">
        <x:v>Evening / focused block</x:v>
      </x:c>
      <x:c r="G131" s="32" t="str">
        <x:v>Apply base colors/graphics lightly; keep access to fasteners, brakes, and steering joints.</x:v>
      </x:c>
      <x:c r="H131" s="32" t="str">
        <x:v>Base livery v1</x:v>
      </x:c>
      <x:c r="I131" s="38" t="n">
        <x:v>1.5</x:v>
      </x:c>
      <x:c r="J131" s="36" t="n">
        <x:v>46241</x:v>
      </x:c>
      <x:c r="K131" s="32" t="str">
        <x:v>P2 Medium</x:v>
      </x:c>
      <x:c r="L131" s="32" t="str">
        <x:v>Not Started</x:v>
      </x:c>
      <x:c r="M131" s="32" t="str">
        <x:v>☐</x:v>
      </x:c>
      <x:c r="N131" s="32" t="str">
        <x:v>Safety audits</x:v>
      </x:c>
      <x:c r="O131" s="32" t="str">
        <x:v>No</x:v>
      </x:c>
      <x:c r="P131" s="32" t="str"/>
      <x:c r="Q131" s="32" t="str"/>
      <x:c r="R131" s="32" t="str">
        <x:v>Workshop</x:v>
      </x:c>
      <x:c r="S131" s="32" t="str">
        <x:v>Kenny</x:v>
      </x:c>
      <x:c r="T131" s="40" t="n">
        <x:f>IF($M131="☑",1,IF($L131="In Progress",0.5,0))</x:f>
        <x:v>0</x:v>
      </x:c>
      <x:c r="U131" s="32" t="n">
        <x:f>IF($J131="","",$J131-TODAY())</x:f>
        <x:v>50</x:v>
      </x:c>
    </x:row>
    <x:row r="132">
      <x:c r="A132" s="32" t="str">
        <x:v>T128</x:v>
      </x:c>
      <x:c r="B132" s="36" t="n">
        <x:v>46241</x:v>
      </x:c>
      <x:c r="C132" s="32" t="str">
        <x:v>W32</x:v>
      </x:c>
      <x:c r="D132" s="32" t="str">
        <x:v>17. Finish &amp; Livery</x:v>
      </x:c>
      <x:c r="E132" s="32" t="str">
        <x:v>Paint/livery prep</x:v>
      </x:c>
      <x:c r="F132" s="32" t="str">
        <x:v>Evening / focused block</x:v>
      </x:c>
      <x:c r="G132" s="32" t="str">
        <x:v>Photograph cart from judge/crowd angles; check one-second recognisability again.</x:v>
      </x:c>
      <x:c r="H132" s="32" t="str">
        <x:v>Recognition test 2</x:v>
      </x:c>
      <x:c r="I132" s="38" t="n">
        <x:v>0.5</x:v>
      </x:c>
      <x:c r="J132" s="36" t="n">
        <x:v>46241</x:v>
      </x:c>
      <x:c r="K132" s="32" t="str">
        <x:v>P1 High</x:v>
      </x:c>
      <x:c r="L132" s="32" t="str">
        <x:v>Not Started</x:v>
      </x:c>
      <x:c r="M132" s="32" t="str">
        <x:v>☐</x:v>
      </x:c>
      <x:c r="N132" s="32" t="str">
        <x:v>Base livery</x:v>
      </x:c>
      <x:c r="O132" s="32" t="str">
        <x:v>No</x:v>
      </x:c>
      <x:c r="P132" s="32" t="str"/>
      <x:c r="Q132" s="32" t="str"/>
      <x:c r="R132" s="32" t="str">
        <x:v>Feedback notes</x:v>
      </x:c>
      <x:c r="S132" s="32" t="str">
        <x:v>Kenny</x:v>
      </x:c>
      <x:c r="T132" s="40" t="n">
        <x:f>IF($M132="☑",1,IF($L132="In Progress",0.5,0))</x:f>
        <x:v>0</x:v>
      </x:c>
      <x:c r="U132" s="32" t="n">
        <x:f>IF($J132="","",$J132-TODAY())</x:f>
        <x:v>50</x:v>
      </x:c>
    </x:row>
    <x:row r="133">
      <x:c r="A133" s="32" t="str">
        <x:v>T129</x:v>
      </x:c>
      <x:c r="B133" s="36" t="n">
        <x:v>46242</x:v>
      </x:c>
      <x:c r="C133" s="32" t="str">
        <x:v>W32</x:v>
      </x:c>
      <x:c r="D133" s="32" t="str">
        <x:v>18. Testing &amp; Tuning</x:v>
      </x:c>
      <x:c r="E133" s="32" t="str">
        <x:v>Tow/flat testing weekend</x:v>
      </x:c>
      <x:c r="F133" s="32" t="str">
        <x:v>Weekend build block</x:v>
      </x:c>
      <x:c r="G133" s="32" t="str">
        <x:v>Perform flat tow/push tests at increasing speed with full PPE and spotter.</x:v>
      </x:c>
      <x:c r="H133" s="32" t="str">
        <x:v>Flat/tow tests</x:v>
      </x:c>
      <x:c r="I133" s="38" t="n">
        <x:v>1.5</x:v>
      </x:c>
      <x:c r="J133" s="36" t="n">
        <x:v>46242</x:v>
      </x:c>
      <x:c r="K133" s="32" t="str">
        <x:v>P0 Critical</x:v>
      </x:c>
      <x:c r="L133" s="32" t="str">
        <x:v>Not Started</x:v>
      </x:c>
      <x:c r="M133" s="32" t="str">
        <x:v>☐</x:v>
      </x:c>
      <x:c r="N133" s="32" t="str">
        <x:v>Brake/steering audits</x:v>
      </x:c>
      <x:c r="O133" s="32" t="str">
        <x:v>No</x:v>
      </x:c>
      <x:c r="P133" s="32" t="str"/>
      <x:c r="Q133" s="32" t="str"/>
      <x:c r="R133" s="32" t="str">
        <x:v>Test notes</x:v>
      </x:c>
      <x:c r="S133" s="32" t="str">
        <x:v>Kenny</x:v>
      </x:c>
      <x:c r="T133" s="40" t="n">
        <x:f>IF($M133="☑",1,IF($L133="In Progress",0.5,0))</x:f>
        <x:v>0</x:v>
      </x:c>
      <x:c r="U133" s="32" t="n">
        <x:f>IF($J133="","",$J133-TODAY())</x:f>
        <x:v>51</x:v>
      </x:c>
    </x:row>
    <x:row r="134">
      <x:c r="A134" s="32" t="str">
        <x:v>T130</x:v>
      </x:c>
      <x:c r="B134" s="36" t="n">
        <x:v>46242</x:v>
      </x:c>
      <x:c r="C134" s="32" t="str">
        <x:v>W32</x:v>
      </x:c>
      <x:c r="D134" s="32" t="str">
        <x:v>18. Testing &amp; Tuning</x:v>
      </x:c>
      <x:c r="E134" s="32" t="str">
        <x:v>Tow/flat testing weekend</x:v>
      </x:c>
      <x:c r="F134" s="32" t="str">
        <x:v>Weekend build block</x:v>
      </x:c>
      <x:c r="G134" s="32" t="str">
        <x:v>Log steering wobble, brake stop distance, panel movement, effect reliability, and loose items.</x:v>
      </x:c>
      <x:c r="H134" s="32" t="str">
        <x:v>Test issue log 2</x:v>
      </x:c>
      <x:c r="I134" s="38" t="n">
        <x:v>1</x:v>
      </x:c>
      <x:c r="J134" s="36" t="n">
        <x:v>46242</x:v>
      </x:c>
      <x:c r="K134" s="32" t="str">
        <x:v>P0 Critical</x:v>
      </x:c>
      <x:c r="L134" s="32" t="str">
        <x:v>Not Started</x:v>
      </x:c>
      <x:c r="M134" s="32" t="str">
        <x:v>☐</x:v>
      </x:c>
      <x:c r="N134" s="32" t="str">
        <x:v>Flat/tow tests</x:v>
      </x:c>
      <x:c r="O134" s="32" t="str">
        <x:v>No</x:v>
      </x:c>
      <x:c r="P134" s="32" t="str"/>
      <x:c r="Q134" s="32" t="str"/>
      <x:c r="R134" s="32" t="str">
        <x:v>Risk register</x:v>
      </x:c>
      <x:c r="S134" s="32" t="str">
        <x:v>Kenny</x:v>
      </x:c>
      <x:c r="T134" s="40" t="n">
        <x:f>IF($M134="☑",1,IF($L134="In Progress",0.5,0))</x:f>
        <x:v>0</x:v>
      </x:c>
      <x:c r="U134" s="32" t="n">
        <x:f>IF($J134="","",$J134-TODAY())</x:f>
        <x:v>51</x:v>
      </x:c>
    </x:row>
    <x:row r="135">
      <x:c r="A135" s="32" t="str">
        <x:v>T131</x:v>
      </x:c>
      <x:c r="B135" s="36" t="n">
        <x:v>46242</x:v>
      </x:c>
      <x:c r="C135" s="32" t="str">
        <x:v>W32</x:v>
      </x:c>
      <x:c r="D135" s="32" t="str">
        <x:v>18. Testing &amp; Tuning</x:v>
      </x:c>
      <x:c r="E135" s="32" t="str">
        <x:v>Tow/flat testing weekend</x:v>
      </x:c>
      <x:c r="F135" s="32" t="str">
        <x:v>Weekend build block</x:v>
      </x:c>
      <x:c r="G135" s="32" t="str">
        <x:v>Film short private clips for future build story; keep failures as useful lessons.</x:v>
      </x:c>
      <x:c r="H135" s="32" t="str">
        <x:v>Private clips</x:v>
      </x:c>
      <x:c r="I135" s="38" t="n">
        <x:v>0.5</x:v>
      </x:c>
      <x:c r="J135" s="36" t="n">
        <x:v>46242</x:v>
      </x:c>
      <x:c r="K135" s="32" t="str">
        <x:v>P3 Low</x:v>
      </x:c>
      <x:c r="L135" s="32" t="str">
        <x:v>Not Started</x:v>
      </x:c>
      <x:c r="M135" s="32" t="str">
        <x:v>☐</x:v>
      </x:c>
      <x:c r="N135" s="32" t="str">
        <x:v>Testing</x:v>
      </x:c>
      <x:c r="O135" s="32" t="str">
        <x:v>No</x:v>
      </x:c>
      <x:c r="P135" s="32" t="str"/>
      <x:c r="Q135" s="32" t="str"/>
      <x:c r="R135" s="32" t="str">
        <x:v>Build in Public Later</x:v>
      </x:c>
      <x:c r="S135" s="32" t="str">
        <x:v>Kenny</x:v>
      </x:c>
      <x:c r="T135" s="40" t="n">
        <x:f>IF($M135="☑",1,IF($L135="In Progress",0.5,0))</x:f>
        <x:v>0</x:v>
      </x:c>
      <x:c r="U135" s="32" t="n">
        <x:f>IF($J135="","",$J135-TODAY())</x:f>
        <x:v>51</x:v>
      </x:c>
    </x:row>
    <x:row r="136">
      <x:c r="A136" s="32" t="str">
        <x:v>T132</x:v>
      </x:c>
      <x:c r="B136" s="36" t="n">
        <x:v>46243</x:v>
      </x:c>
      <x:c r="C136" s="32" t="str">
        <x:v>W32</x:v>
      </x:c>
      <x:c r="D136" s="32" t="str">
        <x:v>18. Testing &amp; Tuning</x:v>
      </x:c>
      <x:c r="E136" s="32" t="str">
        <x:v>Fix and retest</x:v>
      </x:c>
      <x:c r="F136" s="32" t="str">
        <x:v>Weekend build block</x:v>
      </x:c>
      <x:c r="G136" s="32" t="str">
        <x:v>Repair issues from tow/flat tests; prioritize steering, brakes, axle mounts, and loose bodywork.</x:v>
      </x:c>
      <x:c r="H136" s="32" t="str">
        <x:v>Fix batch 2</x:v>
      </x:c>
      <x:c r="I136" s="38" t="n">
        <x:v>2</x:v>
      </x:c>
      <x:c r="J136" s="36" t="n">
        <x:v>46243</x:v>
      </x:c>
      <x:c r="K136" s="32" t="str">
        <x:v>P0 Critical</x:v>
      </x:c>
      <x:c r="L136" s="32" t="str">
        <x:v>Not Started</x:v>
      </x:c>
      <x:c r="M136" s="32" t="str">
        <x:v>☐</x:v>
      </x:c>
      <x:c r="N136" s="32" t="str">
        <x:v>Test issue log 2</x:v>
      </x:c>
      <x:c r="O136" s="32" t="str">
        <x:v>No</x:v>
      </x:c>
      <x:c r="P136" s="32" t="str"/>
      <x:c r="Q136" s="32" t="str"/>
      <x:c r="R136" s="32" t="str">
        <x:v>Workshop</x:v>
      </x:c>
      <x:c r="S136" s="32" t="str">
        <x:v>Kenny</x:v>
      </x:c>
      <x:c r="T136" s="40" t="n">
        <x:f>IF($M136="☑",1,IF($L136="In Progress",0.5,0))</x:f>
        <x:v>0</x:v>
      </x:c>
      <x:c r="U136" s="32" t="n">
        <x:f>IF($J136="","",$J136-TODAY())</x:f>
        <x:v>52</x:v>
      </x:c>
    </x:row>
    <x:row r="137">
      <x:c r="A137" s="32" t="str">
        <x:v>T133</x:v>
      </x:c>
      <x:c r="B137" s="36" t="n">
        <x:v>46243</x:v>
      </x:c>
      <x:c r="C137" s="32" t="str">
        <x:v>W32</x:v>
      </x:c>
      <x:c r="D137" s="32" t="str">
        <x:v>18. Testing &amp; Tuning</x:v>
      </x:c>
      <x:c r="E137" s="32" t="str">
        <x:v>Fix and retest</x:v>
      </x:c>
      <x:c r="F137" s="32" t="str">
        <x:v>Weekend build block</x:v>
      </x:c>
      <x:c r="G137" s="32" t="str">
        <x:v>Retest the fixed items and update issue status.</x:v>
      </x:c>
      <x:c r="H137" s="32" t="str">
        <x:v>Retest notes</x:v>
      </x:c>
      <x:c r="I137" s="38" t="n">
        <x:v>1</x:v>
      </x:c>
      <x:c r="J137" s="36" t="n">
        <x:v>46243</x:v>
      </x:c>
      <x:c r="K137" s="32" t="str">
        <x:v>P0 Critical</x:v>
      </x:c>
      <x:c r="L137" s="32" t="str">
        <x:v>Not Started</x:v>
      </x:c>
      <x:c r="M137" s="32" t="str">
        <x:v>☐</x:v>
      </x:c>
      <x:c r="N137" s="32" t="str">
        <x:v>Fix batch 2</x:v>
      </x:c>
      <x:c r="O137" s="32" t="str">
        <x:v>No</x:v>
      </x:c>
      <x:c r="P137" s="32" t="str"/>
      <x:c r="Q137" s="32" t="str"/>
      <x:c r="R137" s="32" t="str">
        <x:v>Test notes</x:v>
      </x:c>
      <x:c r="S137" s="32" t="str">
        <x:v>Kenny</x:v>
      </x:c>
      <x:c r="T137" s="40" t="n">
        <x:f>IF($M137="☑",1,IF($L137="In Progress",0.5,0))</x:f>
        <x:v>0</x:v>
      </x:c>
      <x:c r="U137" s="32" t="n">
        <x:f>IF($J137="","",$J137-TODAY())</x:f>
        <x:v>52</x:v>
      </x:c>
    </x:row>
    <x:row r="138">
      <x:c r="A138" s="32" t="str">
        <x:v>T134</x:v>
      </x:c>
      <x:c r="B138" s="36" t="n">
        <x:v>46244</x:v>
      </x:c>
      <x:c r="C138" s="32" t="str">
        <x:v>W33</x:v>
      </x:c>
      <x:c r="D138" s="32" t="str">
        <x:v>18. Testing &amp; Tuning</x:v>
      </x:c>
      <x:c r="E138" s="32" t="str">
        <x:v>Coast-down baseline</x:v>
      </x:c>
      <x:c r="F138" s="32" t="str">
        <x:v>Evening / focused block</x:v>
      </x:c>
      <x:c r="G138" s="32" t="str">
        <x:v>Find safe, legal, controlled low-grade slope for repeatable coast-down tests; define start/finish markers.</x:v>
      </x:c>
      <x:c r="H138" s="32" t="str">
        <x:v>Coast-down test site plan</x:v>
      </x:c>
      <x:c r="I138" s="38" t="n">
        <x:v>0.8</x:v>
      </x:c>
      <x:c r="J138" s="36" t="n">
        <x:v>46244</x:v>
      </x:c>
      <x:c r="K138" s="32" t="str">
        <x:v>P0 Critical</x:v>
      </x:c>
      <x:c r="L138" s="32" t="str">
        <x:v>Not Started</x:v>
      </x:c>
      <x:c r="M138" s="32" t="str">
        <x:v>☐</x:v>
      </x:c>
      <x:c r="N138" s="32" t="str">
        <x:v>Retest pass</x:v>
      </x:c>
      <x:c r="O138" s="32" t="str">
        <x:v>No</x:v>
      </x:c>
      <x:c r="P138" s="32" t="str"/>
      <x:c r="Q138" s="32" t="str"/>
      <x:c r="R138" s="32" t="str">
        <x:v>Test plan</x:v>
      </x:c>
      <x:c r="S138" s="32" t="str">
        <x:v>Kenny</x:v>
      </x:c>
      <x:c r="T138" s="40" t="n">
        <x:f>IF($M138="☑",1,IF($L138="In Progress",0.5,0))</x:f>
        <x:v>0</x:v>
      </x:c>
      <x:c r="U138" s="32" t="n">
        <x:f>IF($J138="","",$J138-TODAY())</x:f>
        <x:v>53</x:v>
      </x:c>
    </x:row>
    <x:row r="139">
      <x:c r="A139" s="32" t="str">
        <x:v>T135</x:v>
      </x:c>
      <x:c r="B139" s="36" t="n">
        <x:v>46244</x:v>
      </x:c>
      <x:c r="C139" s="32" t="str">
        <x:v>W33</x:v>
      </x:c>
      <x:c r="D139" s="32" t="str">
        <x:v>18. Testing &amp; Tuning</x:v>
      </x:c>
      <x:c r="E139" s="32" t="str">
        <x:v>Coast-down baseline</x:v>
      </x:c>
      <x:c r="F139" s="32" t="str">
        <x:v>Evening / focused block</x:v>
      </x:c>
      <x:c r="G139" s="32" t="str">
        <x:v>Run baseline coast-down with current body and tyre pressure; record time, GPS speed, notes.</x:v>
      </x:c>
      <x:c r="H139" s="32" t="str">
        <x:v>Coast-down baseline</x:v>
      </x:c>
      <x:c r="I139" s="38" t="n">
        <x:v>1</x:v>
      </x:c>
      <x:c r="J139" s="36" t="n">
        <x:v>46244</x:v>
      </x:c>
      <x:c r="K139" s="32" t="str">
        <x:v>P1 High</x:v>
      </x:c>
      <x:c r="L139" s="32" t="str">
        <x:v>Not Started</x:v>
      </x:c>
      <x:c r="M139" s="32" t="str">
        <x:v>☐</x:v>
      </x:c>
      <x:c r="N139" s="32" t="str">
        <x:v>Test site plan</x:v>
      </x:c>
      <x:c r="O139" s="32" t="str">
        <x:v>No</x:v>
      </x:c>
      <x:c r="P139" s="32" t="str"/>
      <x:c r="Q139" s="32" t="str"/>
      <x:c r="R139" s="32" t="str">
        <x:v>Test notes</x:v>
      </x:c>
      <x:c r="S139" s="32" t="str">
        <x:v>Kenny</x:v>
      </x:c>
      <x:c r="T139" s="40" t="n">
        <x:f>IF($M139="☑",1,IF($L139="In Progress",0.5,0))</x:f>
        <x:v>0</x:v>
      </x:c>
      <x:c r="U139" s="32" t="n">
        <x:f>IF($J139="","",$J139-TODAY())</x:f>
        <x:v>53</x:v>
      </x:c>
    </x:row>
    <x:row r="140">
      <x:c r="A140" s="32" t="str">
        <x:v>T136</x:v>
      </x:c>
      <x:c r="B140" s="36" t="n">
        <x:v>46245</x:v>
      </x:c>
      <x:c r="C140" s="32" t="str">
        <x:v>W33</x:v>
      </x:c>
      <x:c r="D140" s="32" t="str">
        <x:v>18. Testing &amp; Tuning</x:v>
      </x:c>
      <x:c r="E140" s="32" t="str">
        <x:v>Tyre pressure + ballast tuning</x:v>
      </x:c>
      <x:c r="F140" s="32" t="str">
        <x:v>Evening / focused block</x:v>
      </x:c>
      <x:c r="G140" s="32" t="str">
        <x:v>Run tyre pressure comparison: firm/medium/soft within safe limits; record time and handling.</x:v>
      </x:c>
      <x:c r="H140" s="32" t="str">
        <x:v>Tyre pressure test</x:v>
      </x:c>
      <x:c r="I140" s="38" t="n">
        <x:v>1</x:v>
      </x:c>
      <x:c r="J140" s="36" t="n">
        <x:v>46245</x:v>
      </x:c>
      <x:c r="K140" s="32" t="str">
        <x:v>P1 High</x:v>
      </x:c>
      <x:c r="L140" s="32" t="str">
        <x:v>Not Started</x:v>
      </x:c>
      <x:c r="M140" s="32" t="str">
        <x:v>☐</x:v>
      </x:c>
      <x:c r="N140" s="32" t="str">
        <x:v>Coast-down baseline</x:v>
      </x:c>
      <x:c r="O140" s="32" t="str">
        <x:v>No</x:v>
      </x:c>
      <x:c r="P140" s="32" t="str"/>
      <x:c r="Q140" s="32" t="str"/>
      <x:c r="R140" s="32" t="str">
        <x:v>Test notes</x:v>
      </x:c>
      <x:c r="S140" s="32" t="str">
        <x:v>Kenny</x:v>
      </x:c>
      <x:c r="T140" s="40" t="n">
        <x:f>IF($M140="☑",1,IF($L140="In Progress",0.5,0))</x:f>
        <x:v>0</x:v>
      </x:c>
      <x:c r="U140" s="32" t="n">
        <x:f>IF($J140="","",$J140-TODAY())</x:f>
        <x:v>54</x:v>
      </x:c>
    </x:row>
    <x:row r="141">
      <x:c r="A141" s="32" t="str">
        <x:v>T137</x:v>
      </x:c>
      <x:c r="B141" s="36" t="n">
        <x:v>46245</x:v>
      </x:c>
      <x:c r="C141" s="32" t="str">
        <x:v>W33</x:v>
      </x:c>
      <x:c r="D141" s="32" t="str">
        <x:v>18. Testing &amp; Tuning</x:v>
      </x:c>
      <x:c r="E141" s="32" t="str">
        <x:v>Tyre pressure + ballast tuning</x:v>
      </x:c>
      <x:c r="F141" s="32" t="str">
        <x:v>Evening / focused block</x:v>
      </x:c>
      <x:c r="G141" s="32" t="str">
        <x:v>Test low-mounted ballast only if structure and braking remain safe; log effect on speed/stability.</x:v>
      </x:c>
      <x:c r="H141" s="32" t="str">
        <x:v>Ballast test notes</x:v>
      </x:c>
      <x:c r="I141" s="38" t="n">
        <x:v>0.8</x:v>
      </x:c>
      <x:c r="J141" s="36" t="n">
        <x:v>46245</x:v>
      </x:c>
      <x:c r="K141" s="32" t="str">
        <x:v>P1 High</x:v>
      </x:c>
      <x:c r="L141" s="32" t="str">
        <x:v>Not Started</x:v>
      </x:c>
      <x:c r="M141" s="32" t="str">
        <x:v>☐</x:v>
      </x:c>
      <x:c r="N141" s="32" t="str">
        <x:v>Weight audit</x:v>
      </x:c>
      <x:c r="O141" s="32" t="str">
        <x:v>Yes</x:v>
      </x:c>
      <x:c r="P141" s="32" t="str">
        <x:v>Does ballast help without hurting braking/handling?</x:v>
      </x:c>
      <x:c r="Q141" s="32" t="str"/>
      <x:c r="R141" s="32" t="str">
        <x:v>Decision Log</x:v>
      </x:c>
      <x:c r="S141" s="32" t="str">
        <x:v>Kenny</x:v>
      </x:c>
      <x:c r="T141" s="40" t="n">
        <x:f>IF($M141="☑",1,IF($L141="In Progress",0.5,0))</x:f>
        <x:v>0</x:v>
      </x:c>
      <x:c r="U141" s="32" t="n">
        <x:f>IF($J141="","",$J141-TODAY())</x:f>
        <x:v>54</x:v>
      </x:c>
    </x:row>
    <x:row r="142">
      <x:c r="A142" s="32" t="str">
        <x:v>T138</x:v>
      </x:c>
      <x:c r="B142" s="36" t="n">
        <x:v>46246</x:v>
      </x:c>
      <x:c r="C142" s="32" t="str">
        <x:v>W33</x:v>
      </x:c>
      <x:c r="D142" s="32" t="str">
        <x:v>18. Testing &amp; Tuning</x:v>
      </x:c>
      <x:c r="E142" s="32" t="str">
        <x:v>Aero tuft test</x:v>
      </x:c>
      <x:c r="F142" s="32" t="str">
        <x:v>Evening / focused block</x:v>
      </x:c>
      <x:c r="G142" s="32" t="str">
        <x:v>Tape short wool tufts to body and film a low-speed tow/coast test.</x:v>
      </x:c>
      <x:c r="H142" s="32" t="str">
        <x:v>Tuft test video</x:v>
      </x:c>
      <x:c r="I142" s="38" t="n">
        <x:v>1</x:v>
      </x:c>
      <x:c r="J142" s="36" t="n">
        <x:v>46246</x:v>
      </x:c>
      <x:c r="K142" s="32" t="str">
        <x:v>P2 Medium</x:v>
      </x:c>
      <x:c r="L142" s="32" t="str">
        <x:v>Not Started</x:v>
      </x:c>
      <x:c r="M142" s="32" t="str">
        <x:v>☐</x:v>
      </x:c>
      <x:c r="N142" s="32" t="str">
        <x:v>Body mounted</x:v>
      </x:c>
      <x:c r="O142" s="32" t="str">
        <x:v>No</x:v>
      </x:c>
      <x:c r="P142" s="32" t="str"/>
      <x:c r="Q142" s="32" t="str"/>
      <x:c r="R142" s="32" t="str">
        <x:v>Test notes</x:v>
      </x:c>
      <x:c r="S142" s="32" t="str">
        <x:v>Kenny</x:v>
      </x:c>
      <x:c r="T142" s="40" t="n">
        <x:f>IF($M142="☑",1,IF($L142="In Progress",0.5,0))</x:f>
        <x:v>0</x:v>
      </x:c>
      <x:c r="U142" s="32" t="n">
        <x:f>IF($J142="","",$J142-TODAY())</x:f>
        <x:v>55</x:v>
      </x:c>
    </x:row>
    <x:row r="143">
      <x:c r="A143" s="32" t="str">
        <x:v>T139</x:v>
      </x:c>
      <x:c r="B143" s="36" t="n">
        <x:v>46246</x:v>
      </x:c>
      <x:c r="C143" s="32" t="str">
        <x:v>W33</x:v>
      </x:c>
      <x:c r="D143" s="32" t="str">
        <x:v>18. Testing &amp; Tuning</x:v>
      </x:c>
      <x:c r="E143" s="32" t="str">
        <x:v>Aero tuft test</x:v>
      </x:c>
      <x:c r="F143" s="32" t="str">
        <x:v>Evening / focused block</x:v>
      </x:c>
      <x:c r="G143" s="32" t="str">
        <x:v>Identify thrashing tufts/separation zones and decide if simple tape/deflector changes are worth it.</x:v>
      </x:c>
      <x:c r="H143" s="32" t="str">
        <x:v>Aero fix list</x:v>
      </x:c>
      <x:c r="I143" s="38" t="n">
        <x:v>0.8</x:v>
      </x:c>
      <x:c r="J143" s="36" t="n">
        <x:v>46246</x:v>
      </x:c>
      <x:c r="K143" s="32" t="str">
        <x:v>P2 Medium</x:v>
      </x:c>
      <x:c r="L143" s="32" t="str">
        <x:v>Not Started</x:v>
      </x:c>
      <x:c r="M143" s="32" t="str">
        <x:v>☐</x:v>
      </x:c>
      <x:c r="N143" s="32" t="str">
        <x:v>Tuft test</x:v>
      </x:c>
      <x:c r="O143" s="32" t="str">
        <x:v>Yes</x:v>
      </x:c>
      <x:c r="P143" s="32" t="str">
        <x:v>Which aero fixes are simple enough to implement?</x:v>
      </x:c>
      <x:c r="Q143" s="32" t="str"/>
      <x:c r="R143" s="32" t="str">
        <x:v>Decision Log</x:v>
      </x:c>
      <x:c r="S143" s="32" t="str">
        <x:v>Kenny</x:v>
      </x:c>
      <x:c r="T143" s="40" t="n">
        <x:f>IF($M143="☑",1,IF($L143="In Progress",0.5,0))</x:f>
        <x:v>0</x:v>
      </x:c>
      <x:c r="U143" s="32" t="n">
        <x:f>IF($J143="","",$J143-TODAY())</x:f>
        <x:v>55</x:v>
      </x:c>
    </x:row>
    <x:row r="144">
      <x:c r="A144" s="32" t="str">
        <x:v>T140</x:v>
      </x:c>
      <x:c r="B144" s="36" t="n">
        <x:v>46247</x:v>
      </x:c>
      <x:c r="C144" s="32" t="str">
        <x:v>W33</x:v>
      </x:c>
      <x:c r="D144" s="32" t="str">
        <x:v>18. Testing &amp; Tuning</x:v>
      </x:c>
      <x:c r="E144" s="32" t="str">
        <x:v>Reliability audit</x:v>
      </x:c>
      <x:c r="F144" s="32" t="str">
        <x:v>Evening / focused block</x:v>
      </x:c>
      <x:c r="G144" s="32" t="str">
        <x:v>Run 20-cycle steering/brake/effect check in workshop; log any looseness or jamming.</x:v>
      </x:c>
      <x:c r="H144" s="32" t="str">
        <x:v>Reliability cycle log</x:v>
      </x:c>
      <x:c r="I144" s="38" t="n">
        <x:v>1</x:v>
      </x:c>
      <x:c r="J144" s="36" t="n">
        <x:v>46247</x:v>
      </x:c>
      <x:c r="K144" s="32" t="str">
        <x:v>P0 Critical</x:v>
      </x:c>
      <x:c r="L144" s="32" t="str">
        <x:v>Not Started</x:v>
      </x:c>
      <x:c r="M144" s="32" t="str">
        <x:v>☐</x:v>
      </x:c>
      <x:c r="N144" s="32" t="str">
        <x:v>Testing fixes</x:v>
      </x:c>
      <x:c r="O144" s="32" t="str">
        <x:v>No</x:v>
      </x:c>
      <x:c r="P144" s="32" t="str"/>
      <x:c r="Q144" s="32" t="str"/>
      <x:c r="R144" s="32" t="str">
        <x:v>Risk register</x:v>
      </x:c>
      <x:c r="S144" s="32" t="str">
        <x:v>Kenny</x:v>
      </x:c>
      <x:c r="T144" s="40" t="n">
        <x:f>IF($M144="☑",1,IF($L144="In Progress",0.5,0))</x:f>
        <x:v>0</x:v>
      </x:c>
      <x:c r="U144" s="32" t="n">
        <x:f>IF($J144="","",$J144-TODAY())</x:f>
        <x:v>56</x:v>
      </x:c>
    </x:row>
    <x:row r="145">
      <x:c r="A145" s="32" t="str">
        <x:v>T141</x:v>
      </x:c>
      <x:c r="B145" s="36" t="n">
        <x:v>46247</x:v>
      </x:c>
      <x:c r="C145" s="32" t="str">
        <x:v>W33</x:v>
      </x:c>
      <x:c r="D145" s="32" t="str">
        <x:v>18. Testing &amp; Tuning</x:v>
      </x:c>
      <x:c r="E145" s="32" t="str">
        <x:v>Reliability audit</x:v>
      </x:c>
      <x:c r="F145" s="32" t="str">
        <x:v>Evening / focused block</x:v>
      </x:c>
      <x:c r="G145" s="32" t="str">
        <x:v>Create pre-run and post-run checklists for every future test day.</x:v>
      </x:c>
      <x:c r="H145" s="32" t="str">
        <x:v>Run checklists</x:v>
      </x:c>
      <x:c r="I145" s="38" t="n">
        <x:v>0.6</x:v>
      </x:c>
      <x:c r="J145" s="36" t="n">
        <x:v>46247</x:v>
      </x:c>
      <x:c r="K145" s="32" t="str">
        <x:v>P0 Critical</x:v>
      </x:c>
      <x:c r="L145" s="32" t="str">
        <x:v>Not Started</x:v>
      </x:c>
      <x:c r="M145" s="32" t="str">
        <x:v>☐</x:v>
      </x:c>
      <x:c r="N145" s="32" t="str">
        <x:v>Reliability cycle</x:v>
      </x:c>
      <x:c r="O145" s="32" t="str">
        <x:v>No</x:v>
      </x:c>
      <x:c r="P145" s="32" t="str"/>
      <x:c r="Q145" s="32" t="str"/>
      <x:c r="R145" s="32" t="str">
        <x:v>Checklist</x:v>
      </x:c>
      <x:c r="S145" s="32" t="str">
        <x:v>Kenny</x:v>
      </x:c>
      <x:c r="T145" s="40" t="n">
        <x:f>IF($M145="☑",1,IF($L145="In Progress",0.5,0))</x:f>
        <x:v>0</x:v>
      </x:c>
      <x:c r="U145" s="32" t="n">
        <x:f>IF($J145="","",$J145-TODAY())</x:f>
        <x:v>56</x:v>
      </x:c>
    </x:row>
    <x:row r="146">
      <x:c r="A146" s="32" t="str">
        <x:v>T142</x:v>
      </x:c>
      <x:c r="B146" s="36" t="n">
        <x:v>46248</x:v>
      </x:c>
      <x:c r="C146" s="32" t="str">
        <x:v>W33</x:v>
      </x:c>
      <x:c r="D146" s="32" t="str">
        <x:v>18. Testing &amp; Tuning</x:v>
      </x:c>
      <x:c r="E146" s="32" t="str">
        <x:v>Sponsor approval checkpoint</x:v>
      </x:c>
      <x:c r="F146" s="32" t="str">
        <x:v>Evening / focused block</x:v>
      </x:c>
      <x:c r="G146" s="32" t="str">
        <x:v>Confirm sponsor status and required Red Bull approval process before applying final logos.</x:v>
      </x:c>
      <x:c r="H146" s="32" t="str">
        <x:v>Sponsor compliance check</x:v>
      </x:c>
      <x:c r="I146" s="38" t="n">
        <x:v>0.8</x:v>
      </x:c>
      <x:c r="J146" s="36" t="n">
        <x:v>46248</x:v>
      </x:c>
      <x:c r="K146" s="32" t="str">
        <x:v>P1 High</x:v>
      </x:c>
      <x:c r="L146" s="32" t="str">
        <x:v>Not Started</x:v>
      </x:c>
      <x:c r="M146" s="32" t="str">
        <x:v>☐</x:v>
      </x:c>
      <x:c r="N146" s="32" t="str">
        <x:v>Sponsor outreach</x:v>
      </x:c>
      <x:c r="O146" s="32" t="str">
        <x:v>Yes</x:v>
      </x:c>
      <x:c r="P146" s="32" t="str">
        <x:v>Any sponsor identity to submit for approval now?</x:v>
      </x:c>
      <x:c r="Q146" s="32" t="str"/>
      <x:c r="R146" s="32" t="str">
        <x:v>Sponsor tracker</x:v>
      </x:c>
      <x:c r="S146" s="32" t="str">
        <x:v>Kenny</x:v>
      </x:c>
      <x:c r="T146" s="40" t="n">
        <x:f>IF($M146="☑",1,IF($L146="In Progress",0.5,0))</x:f>
        <x:v>0</x:v>
      </x:c>
      <x:c r="U146" s="32" t="n">
        <x:f>IF($J146="","",$J146-TODAY())</x:f>
        <x:v>57</x:v>
      </x:c>
    </x:row>
    <x:row r="147">
      <x:c r="A147" s="32" t="str">
        <x:v>T143</x:v>
      </x:c>
      <x:c r="B147" s="36" t="n">
        <x:v>46248</x:v>
      </x:c>
      <x:c r="C147" s="32" t="str">
        <x:v>W33</x:v>
      </x:c>
      <x:c r="D147" s="32" t="str">
        <x:v>18. Testing &amp; Tuning</x:v>
      </x:c>
      <x:c r="E147" s="32" t="str">
        <x:v>Sponsor approval checkpoint</x:v>
      </x:c>
      <x:c r="F147" s="32" t="str">
        <x:v>Evening / focused block</x:v>
      </x:c>
      <x:c r="G147" s="32" t="str">
        <x:v>Prepare no-sponsor livery fallback that still looks complete.</x:v>
      </x:c>
      <x:c r="H147" s="32" t="str">
        <x:v>Fallback livery</x:v>
      </x:c>
      <x:c r="I147" s="38" t="n">
        <x:v>0.8</x:v>
      </x:c>
      <x:c r="J147" s="36" t="n">
        <x:v>46248</x:v>
      </x:c>
      <x:c r="K147" s="32" t="str">
        <x:v>P2 Medium</x:v>
      </x:c>
      <x:c r="L147" s="32" t="str">
        <x:v>Not Started</x:v>
      </x:c>
      <x:c r="M147" s="32" t="str">
        <x:v>☐</x:v>
      </x:c>
      <x:c r="N147" s="32" t="str">
        <x:v>Livery mockup</x:v>
      </x:c>
      <x:c r="O147" s="32" t="str">
        <x:v>No</x:v>
      </x:c>
      <x:c r="P147" s="32" t="str"/>
      <x:c r="Q147" s="32" t="str"/>
      <x:c r="R147" s="32" t="str">
        <x:v>Design file</x:v>
      </x:c>
      <x:c r="S147" s="32" t="str">
        <x:v>Kenny</x:v>
      </x:c>
      <x:c r="T147" s="40" t="n">
        <x:f>IF($M147="☑",1,IF($L147="In Progress",0.5,0))</x:f>
        <x:v>0</x:v>
      </x:c>
      <x:c r="U147" s="32" t="n">
        <x:f>IF($J147="","",$J147-TODAY())</x:f>
        <x:v>57</x:v>
      </x:c>
    </x:row>
    <x:row r="148">
      <x:c r="A148" s="32" t="str">
        <x:v>T144</x:v>
      </x:c>
      <x:c r="B148" s="36" t="n">
        <x:v>46249</x:v>
      </x:c>
      <x:c r="C148" s="32" t="str">
        <x:v>W33</x:v>
      </x:c>
      <x:c r="D148" s="32" t="str">
        <x:v>18. Testing &amp; Tuning</x:v>
      </x:c>
      <x:c r="E148" s="32" t="str">
        <x:v>Medium-slope test weekend</x:v>
      </x:c>
      <x:c r="F148" s="32" t="str">
        <x:v>Weekend build block</x:v>
      </x:c>
      <x:c r="G148" s="32" t="str">
        <x:v>Run medium-slope test only if pre-run checklist passes; full PPE, spotters, clear runout.</x:v>
      </x:c>
      <x:c r="H148" s="32" t="str">
        <x:v>Medium-slope test 1</x:v>
      </x:c>
      <x:c r="I148" s="38" t="n">
        <x:v>1.5</x:v>
      </x:c>
      <x:c r="J148" s="36" t="n">
        <x:v>46249</x:v>
      </x:c>
      <x:c r="K148" s="32" t="str">
        <x:v>P0 Critical</x:v>
      </x:c>
      <x:c r="L148" s="32" t="str">
        <x:v>Not Started</x:v>
      </x:c>
      <x:c r="M148" s="32" t="str">
        <x:v>☐</x:v>
      </x:c>
      <x:c r="N148" s="32" t="str">
        <x:v>Run checklist</x:v>
      </x:c>
      <x:c r="O148" s="32" t="str">
        <x:v>No</x:v>
      </x:c>
      <x:c r="P148" s="32" t="str"/>
      <x:c r="Q148" s="32" t="str"/>
      <x:c r="R148" s="32" t="str">
        <x:v>Test notes</x:v>
      </x:c>
      <x:c r="S148" s="32" t="str">
        <x:v>Kenny</x:v>
      </x:c>
      <x:c r="T148" s="40" t="n">
        <x:f>IF($M148="☑",1,IF($L148="In Progress",0.5,0))</x:f>
        <x:v>0</x:v>
      </x:c>
      <x:c r="U148" s="32" t="n">
        <x:f>IF($J148="","",$J148-TODAY())</x:f>
        <x:v>58</x:v>
      </x:c>
    </x:row>
    <x:row r="149">
      <x:c r="A149" s="32" t="str">
        <x:v>T145</x:v>
      </x:c>
      <x:c r="B149" s="36" t="n">
        <x:v>46249</x:v>
      </x:c>
      <x:c r="C149" s="32" t="str">
        <x:v>W33</x:v>
      </x:c>
      <x:c r="D149" s="32" t="str">
        <x:v>18. Testing &amp; Tuning</x:v>
      </x:c>
      <x:c r="E149" s="32" t="str">
        <x:v>Medium-slope test weekend</x:v>
      </x:c>
      <x:c r="F149" s="32" t="str">
        <x:v>Weekend build block</x:v>
      </x:c>
      <x:c r="G149" s="32" t="str">
        <x:v>Check braking under load, steering wobble, body vibration, effect retention, and driver confidence.</x:v>
      </x:c>
      <x:c r="H149" s="32" t="str">
        <x:v>Handling report</x:v>
      </x:c>
      <x:c r="I149" s="38" t="n">
        <x:v>1</x:v>
      </x:c>
      <x:c r="J149" s="36" t="n">
        <x:v>46249</x:v>
      </x:c>
      <x:c r="K149" s="32" t="str">
        <x:v>P0 Critical</x:v>
      </x:c>
      <x:c r="L149" s="32" t="str">
        <x:v>Not Started</x:v>
      </x:c>
      <x:c r="M149" s="32" t="str">
        <x:v>☐</x:v>
      </x:c>
      <x:c r="N149" s="32" t="str">
        <x:v>Medium test</x:v>
      </x:c>
      <x:c r="O149" s="32" t="str">
        <x:v>No</x:v>
      </x:c>
      <x:c r="P149" s="32" t="str"/>
      <x:c r="Q149" s="32" t="str"/>
      <x:c r="R149" s="32" t="str">
        <x:v>Test notes</x:v>
      </x:c>
      <x:c r="S149" s="32" t="str">
        <x:v>Kenny</x:v>
      </x:c>
      <x:c r="T149" s="40" t="n">
        <x:f>IF($M149="☑",1,IF($L149="In Progress",0.5,0))</x:f>
        <x:v>0</x:v>
      </x:c>
      <x:c r="U149" s="32" t="n">
        <x:f>IF($J149="","",$J149-TODAY())</x:f>
        <x:v>58</x:v>
      </x:c>
    </x:row>
    <x:row r="150">
      <x:c r="A150" s="32" t="str">
        <x:v>T146</x:v>
      </x:c>
      <x:c r="B150" s="36" t="n">
        <x:v>46249</x:v>
      </x:c>
      <x:c r="C150" s="32" t="str">
        <x:v>W33</x:v>
      </x:c>
      <x:c r="D150" s="32" t="str">
        <x:v>18. Testing &amp; Tuning</x:v>
      </x:c>
      <x:c r="E150" s="32" t="str">
        <x:v>Medium-slope test weekend</x:v>
      </x:c>
      <x:c r="F150" s="32" t="str">
        <x:v>Weekend build block</x:v>
      </x:c>
      <x:c r="G150" s="32" t="str">
        <x:v>Record clean progress clip only if safe and non-sensitive; save as possible build-in-public asset.</x:v>
      </x:c>
      <x:c r="H150" s="32" t="str">
        <x:v>Potential public clip</x:v>
      </x:c>
      <x:c r="I150" s="38" t="n">
        <x:v>0.4</x:v>
      </x:c>
      <x:c r="J150" s="36" t="n">
        <x:v>46249</x:v>
      </x:c>
      <x:c r="K150" s="32" t="str">
        <x:v>P3 Low</x:v>
      </x:c>
      <x:c r="L150" s="32" t="str">
        <x:v>Not Started</x:v>
      </x:c>
      <x:c r="M150" s="32" t="str">
        <x:v>☐</x:v>
      </x:c>
      <x:c r="N150" s="32" t="str">
        <x:v>Medium test</x:v>
      </x:c>
      <x:c r="O150" s="32" t="str">
        <x:v>No</x:v>
      </x:c>
      <x:c r="P150" s="32" t="str"/>
      <x:c r="Q150" s="32" t="str"/>
      <x:c r="R150" s="32" t="str">
        <x:v>Build in Public Later</x:v>
      </x:c>
      <x:c r="S150" s="32" t="str">
        <x:v>Kenny</x:v>
      </x:c>
      <x:c r="T150" s="40" t="n">
        <x:f>IF($M150="☑",1,IF($L150="In Progress",0.5,0))</x:f>
        <x:v>0</x:v>
      </x:c>
      <x:c r="U150" s="32" t="n">
        <x:f>IF($J150="","",$J150-TODAY())</x:f>
        <x:v>58</x:v>
      </x:c>
    </x:row>
    <x:row r="151">
      <x:c r="A151" s="32" t="str">
        <x:v>T147</x:v>
      </x:c>
      <x:c r="B151" s="36" t="n">
        <x:v>46250</x:v>
      </x:c>
      <x:c r="C151" s="32" t="str">
        <x:v>W33</x:v>
      </x:c>
      <x:c r="D151" s="32" t="str">
        <x:v>18. Testing &amp; Tuning</x:v>
      </x:c>
      <x:c r="E151" s="32" t="str">
        <x:v>Fixes after medium test</x:v>
      </x:c>
      <x:c r="F151" s="32" t="str">
        <x:v>Weekend build block</x:v>
      </x:c>
      <x:c r="G151" s="32" t="str">
        <x:v>Repair or redesign all P0 issues found in medium-slope test.</x:v>
      </x:c>
      <x:c r="H151" s="32" t="str">
        <x:v>Fix batch 3</x:v>
      </x:c>
      <x:c r="I151" s="38" t="n">
        <x:v>2</x:v>
      </x:c>
      <x:c r="J151" s="36" t="n">
        <x:v>46250</x:v>
      </x:c>
      <x:c r="K151" s="32" t="str">
        <x:v>P0 Critical</x:v>
      </x:c>
      <x:c r="L151" s="32" t="str">
        <x:v>Not Started</x:v>
      </x:c>
      <x:c r="M151" s="32" t="str">
        <x:v>☐</x:v>
      </x:c>
      <x:c r="N151" s="32" t="str">
        <x:v>Handling report</x:v>
      </x:c>
      <x:c r="O151" s="32" t="str">
        <x:v>No</x:v>
      </x:c>
      <x:c r="P151" s="32" t="str"/>
      <x:c r="Q151" s="32" t="str"/>
      <x:c r="R151" s="32" t="str">
        <x:v>Workshop</x:v>
      </x:c>
      <x:c r="S151" s="32" t="str">
        <x:v>Kenny</x:v>
      </x:c>
      <x:c r="T151" s="40" t="n">
        <x:f>IF($M151="☑",1,IF($L151="In Progress",0.5,0))</x:f>
        <x:v>0</x:v>
      </x:c>
      <x:c r="U151" s="32" t="n">
        <x:f>IF($J151="","",$J151-TODAY())</x:f>
        <x:v>59</x:v>
      </x:c>
    </x:row>
    <x:row r="152">
      <x:c r="A152" s="32" t="str">
        <x:v>T148</x:v>
      </x:c>
      <x:c r="B152" s="36" t="n">
        <x:v>46250</x:v>
      </x:c>
      <x:c r="C152" s="32" t="str">
        <x:v>W33</x:v>
      </x:c>
      <x:c r="D152" s="32" t="str">
        <x:v>18. Testing &amp; Tuning</x:v>
      </x:c>
      <x:c r="E152" s="32" t="str">
        <x:v>Fixes after medium test</x:v>
      </x:c>
      <x:c r="F152" s="32" t="str">
        <x:v>Weekend build block</x:v>
      </x:c>
      <x:c r="G152" s="32" t="str">
        <x:v>Update as-built drawings and BOM to match the cart after fixes.</x:v>
      </x:c>
      <x:c r="H152" s="32" t="str">
        <x:v>As-built v1</x:v>
      </x:c>
      <x:c r="I152" s="38" t="n">
        <x:v>0.8</x:v>
      </x:c>
      <x:c r="J152" s="36" t="n">
        <x:v>46250</x:v>
      </x:c>
      <x:c r="K152" s="32" t="str">
        <x:v>P1 High</x:v>
      </x:c>
      <x:c r="L152" s="32" t="str">
        <x:v>Not Started</x:v>
      </x:c>
      <x:c r="M152" s="32" t="str">
        <x:v>☐</x:v>
      </x:c>
      <x:c r="N152" s="32" t="str">
        <x:v>Fix batch 3</x:v>
      </x:c>
      <x:c r="O152" s="32" t="str">
        <x:v>No</x:v>
      </x:c>
      <x:c r="P152" s="32" t="str"/>
      <x:c r="Q152" s="32" t="str"/>
      <x:c r="R152" s="32" t="str">
        <x:v>CAD/BOM</x:v>
      </x:c>
      <x:c r="S152" s="32" t="str">
        <x:v>Kenny</x:v>
      </x:c>
      <x:c r="T152" s="40" t="n">
        <x:f>IF($M152="☑",1,IF($L152="In Progress",0.5,0))</x:f>
        <x:v>0</x:v>
      </x:c>
      <x:c r="U152" s="32" t="n">
        <x:f>IF($J152="","",$J152-TODAY())</x:f>
        <x:v>59</x:v>
      </x:c>
    </x:row>
    <x:row r="153">
      <x:c r="A153" s="32" t="str">
        <x:v>T149</x:v>
      </x:c>
      <x:c r="B153" s="36" t="n">
        <x:v>46251</x:v>
      </x:c>
      <x:c r="C153" s="32" t="str">
        <x:v>W34</x:v>
      </x:c>
      <x:c r="D153" s="32" t="str">
        <x:v>19. Race Readiness</x:v>
      </x:c>
      <x:c r="E153" s="32" t="str">
        <x:v>Skit rehearsal 1</x:v>
      </x:c>
      <x:c r="F153" s="32" t="str">
        <x:v>Evening / focused block</x:v>
      </x:c>
      <x:c r="G153" s="32" t="str">
        <x:v>Rehearse skit standing still with timer; cut to under 45 seconds, then target 30 seconds.</x:v>
      </x:c>
      <x:c r="H153" s="32" t="str">
        <x:v>Skit timing v1</x:v>
      </x:c>
      <x:c r="I153" s="38" t="n">
        <x:v>0.8</x:v>
      </x:c>
      <x:c r="J153" s="36" t="n">
        <x:v>46251</x:v>
      </x:c>
      <x:c r="K153" s="32" t="str">
        <x:v>P1 High</x:v>
      </x:c>
      <x:c r="L153" s="32" t="str">
        <x:v>Not Started</x:v>
      </x:c>
      <x:c r="M153" s="32" t="str">
        <x:v>☐</x:v>
      </x:c>
      <x:c r="N153" s="32" t="str">
        <x:v>Skit script</x:v>
      </x:c>
      <x:c r="O153" s="32" t="str">
        <x:v>No</x:v>
      </x:c>
      <x:c r="P153" s="32" t="str"/>
      <x:c r="Q153" s="32" t="str"/>
      <x:c r="R153" s="32" t="str">
        <x:v>Skit notes</x:v>
      </x:c>
      <x:c r="S153" s="32" t="str">
        <x:v>Kenny</x:v>
      </x:c>
      <x:c r="T153" s="40" t="n">
        <x:f>IF($M153="☑",1,IF($L153="In Progress",0.5,0))</x:f>
        <x:v>0</x:v>
      </x:c>
      <x:c r="U153" s="32" t="n">
        <x:f>IF($J153="","",$J153-TODAY())</x:f>
        <x:v>60</x:v>
      </x:c>
    </x:row>
    <x:row r="154">
      <x:c r="A154" s="32" t="str">
        <x:v>T150</x:v>
      </x:c>
      <x:c r="B154" s="36" t="n">
        <x:v>46251</x:v>
      </x:c>
      <x:c r="C154" s="32" t="str">
        <x:v>W34</x:v>
      </x:c>
      <x:c r="D154" s="32" t="str">
        <x:v>19. Race Readiness</x:v>
      </x:c>
      <x:c r="E154" s="32" t="str">
        <x:v>Skit rehearsal 1</x:v>
      </x:c>
      <x:c r="F154" s="32" t="str">
        <x:v>Evening / focused block</x:v>
      </x:c>
      <x:c r="G154" s="32" t="str">
        <x:v>Assign props, cues, and who pushes/does what before start line.</x:v>
      </x:c>
      <x:c r="H154" s="32" t="str">
        <x:v>Performance role map</x:v>
      </x:c>
      <x:c r="I154" s="38" t="n">
        <x:v>0.6</x:v>
      </x:c>
      <x:c r="J154" s="36" t="n">
        <x:v>46251</x:v>
      </x:c>
      <x:c r="K154" s="32" t="str">
        <x:v>P1 High</x:v>
      </x:c>
      <x:c r="L154" s="32" t="str">
        <x:v>Not Started</x:v>
      </x:c>
      <x:c r="M154" s="32" t="str">
        <x:v>☐</x:v>
      </x:c>
      <x:c r="N154" s="32" t="str">
        <x:v>Team roles</x:v>
      </x:c>
      <x:c r="O154" s="32" t="str">
        <x:v>No</x:v>
      </x:c>
      <x:c r="P154" s="32" t="str"/>
      <x:c r="Q154" s="32" t="str"/>
      <x:c r="R154" s="32" t="str">
        <x:v>Team notes</x:v>
      </x:c>
      <x:c r="S154" s="32" t="str">
        <x:v>Kenny</x:v>
      </x:c>
      <x:c r="T154" s="40" t="n">
        <x:f>IF($M154="☑",1,IF($L154="In Progress",0.5,0))</x:f>
        <x:v>0</x:v>
      </x:c>
      <x:c r="U154" s="32" t="n">
        <x:f>IF($J154="","",$J154-TODAY())</x:f>
        <x:v>60</x:v>
      </x:c>
    </x:row>
    <x:row r="155">
      <x:c r="A155" s="32" t="str">
        <x:v>T151</x:v>
      </x:c>
      <x:c r="B155" s="36" t="n">
        <x:v>46252</x:v>
      </x:c>
      <x:c r="C155" s="32" t="str">
        <x:v>W34</x:v>
      </x:c>
      <x:c r="D155" s="32" t="str">
        <x:v>19. Race Readiness</x:v>
      </x:c>
      <x:c r="E155" s="32" t="str">
        <x:v>Final safety upgrades</x:v>
      </x:c>
      <x:c r="F155" s="32" t="str">
        <x:v>Evening / focused block</x:v>
      </x:c>
      <x:c r="G155" s="32" t="str">
        <x:v>Finalize padding, helmet clearance, gloves/closed shoes/long sleeves/trousers compatibility.</x:v>
      </x:c>
      <x:c r="H155" s="32" t="str">
        <x:v>Driver safety kit check</x:v>
      </x:c>
      <x:c r="I155" s="38" t="n">
        <x:v>0.8</x:v>
      </x:c>
      <x:c r="J155" s="36" t="n">
        <x:v>46252</x:v>
      </x:c>
      <x:c r="K155" s="32" t="str">
        <x:v>P0 Critical</x:v>
      </x:c>
      <x:c r="L155" s="32" t="str">
        <x:v>Not Started</x:v>
      </x:c>
      <x:c r="M155" s="32" t="str">
        <x:v>☐</x:v>
      </x:c>
      <x:c r="N155" s="32" t="str">
        <x:v>Costume safety</x:v>
      </x:c>
      <x:c r="O155" s="32" t="str">
        <x:v>No</x:v>
      </x:c>
      <x:c r="P155" s="32" t="str"/>
      <x:c r="Q155" s="32" t="str"/>
      <x:c r="R155" s="32" t="str">
        <x:v>Inspection checklist</x:v>
      </x:c>
      <x:c r="S155" s="32" t="str">
        <x:v>Kenny</x:v>
      </x:c>
      <x:c r="T155" s="40" t="n">
        <x:f>IF($M155="☑",1,IF($L155="In Progress",0.5,0))</x:f>
        <x:v>0</x:v>
      </x:c>
      <x:c r="U155" s="32" t="n">
        <x:f>IF($J155="","",$J155-TODAY())</x:f>
        <x:v>61</x:v>
      </x:c>
    </x:row>
    <x:row r="156">
      <x:c r="A156" s="32" t="str">
        <x:v>T152</x:v>
      </x:c>
      <x:c r="B156" s="36" t="n">
        <x:v>46252</x:v>
      </x:c>
      <x:c r="C156" s="32" t="str">
        <x:v>W34</x:v>
      </x:c>
      <x:c r="D156" s="32" t="str">
        <x:v>19. Race Readiness</x:v>
      </x:c>
      <x:c r="E156" s="32" t="str">
        <x:v>Final safety upgrades</x:v>
      </x:c>
      <x:c r="F156" s="32" t="str">
        <x:v>Evening / focused block</x:v>
      </x:c>
      <x:c r="G156" s="32" t="str">
        <x:v>Check driver can exit quickly and nothing snags on costume/bodywork.</x:v>
      </x:c>
      <x:c r="H156" s="32" t="str">
        <x:v>Exit test</x:v>
      </x:c>
      <x:c r="I156" s="38" t="n">
        <x:v>0.5</x:v>
      </x:c>
      <x:c r="J156" s="36" t="n">
        <x:v>46252</x:v>
      </x:c>
      <x:c r="K156" s="32" t="str">
        <x:v>P0 Critical</x:v>
      </x:c>
      <x:c r="L156" s="32" t="str">
        <x:v>Not Started</x:v>
      </x:c>
      <x:c r="M156" s="32" t="str">
        <x:v>☐</x:v>
      </x:c>
      <x:c r="N156" s="32" t="str">
        <x:v>Safety kit check</x:v>
      </x:c>
      <x:c r="O156" s="32" t="str">
        <x:v>No</x:v>
      </x:c>
      <x:c r="P156" s="32" t="str"/>
      <x:c r="Q156" s="32" t="str"/>
      <x:c r="R156" s="32" t="str">
        <x:v>Test notes</x:v>
      </x:c>
      <x:c r="S156" s="32" t="str">
        <x:v>Kenny</x:v>
      </x:c>
      <x:c r="T156" s="40" t="n">
        <x:f>IF($M156="☑",1,IF($L156="In Progress",0.5,0))</x:f>
        <x:v>0</x:v>
      </x:c>
      <x:c r="U156" s="32" t="n">
        <x:f>IF($J156="","",$J156-TODAY())</x:f>
        <x:v>61</x:v>
      </x:c>
    </x:row>
    <x:row r="157">
      <x:c r="A157" s="32" t="str">
        <x:v>T153</x:v>
      </x:c>
      <x:c r="B157" s="36" t="n">
        <x:v>46253</x:v>
      </x:c>
      <x:c r="C157" s="32" t="str">
        <x:v>W34</x:v>
      </x:c>
      <x:c r="D157" s="32" t="str">
        <x:v>19. Race Readiness</x:v>
      </x:c>
      <x:c r="E157" s="32" t="str">
        <x:v>Fastener + bearing service</x:v>
      </x:c>
      <x:c r="F157" s="32" t="str">
        <x:v>Evening / focused block</x:v>
      </x:c>
      <x:c r="G157" s="32" t="str">
        <x:v>Clean/lube/inspect bearings and verify wheel spin; replace rough bearings if needed.</x:v>
      </x:c>
      <x:c r="H157" s="32" t="str">
        <x:v>Bearing service</x:v>
      </x:c>
      <x:c r="I157" s="38" t="n">
        <x:v>0.8</x:v>
      </x:c>
      <x:c r="J157" s="36" t="n">
        <x:v>46253</x:v>
      </x:c>
      <x:c r="K157" s="32" t="str">
        <x:v>P1 High</x:v>
      </x:c>
      <x:c r="L157" s="32" t="str">
        <x:v>Not Started</x:v>
      </x:c>
      <x:c r="M157" s="32" t="str">
        <x:v>☐</x:v>
      </x:c>
      <x:c r="N157" s="32" t="str">
        <x:v>Rolling chassis</x:v>
      </x:c>
      <x:c r="O157" s="32" t="str">
        <x:v>No</x:v>
      </x:c>
      <x:c r="P157" s="32" t="str"/>
      <x:c r="Q157" s="32" t="str"/>
      <x:c r="R157" s="32" t="str">
        <x:v>Workshop</x:v>
      </x:c>
      <x:c r="S157" s="32" t="str">
        <x:v>Kenny</x:v>
      </x:c>
      <x:c r="T157" s="40" t="n">
        <x:f>IF($M157="☑",1,IF($L157="In Progress",0.5,0))</x:f>
        <x:v>0</x:v>
      </x:c>
      <x:c r="U157" s="32" t="n">
        <x:f>IF($J157="","",$J157-TODAY())</x:f>
        <x:v>62</x:v>
      </x:c>
    </x:row>
    <x:row r="158">
      <x:c r="A158" s="32" t="str">
        <x:v>T154</x:v>
      </x:c>
      <x:c r="B158" s="36" t="n">
        <x:v>46253</x:v>
      </x:c>
      <x:c r="C158" s="32" t="str">
        <x:v>W34</x:v>
      </x:c>
      <x:c r="D158" s="32" t="str">
        <x:v>19. Race Readiness</x:v>
      </x:c>
      <x:c r="E158" s="32" t="str">
        <x:v>Fastener + bearing service</x:v>
      </x:c>
      <x:c r="F158" s="32" t="str">
        <x:v>Evening / focused block</x:v>
      </x:c>
      <x:c r="G158" s="32" t="str">
        <x:v>Fastener audit 2: locknuts, washers, axle/brake/steering mounts, body breakaway points.</x:v>
      </x:c>
      <x:c r="H158" s="32" t="str">
        <x:v>Fastener audit 2</x:v>
      </x:c>
      <x:c r="I158" s="38" t="n">
        <x:v>0.8</x:v>
      </x:c>
      <x:c r="J158" s="36" t="n">
        <x:v>46253</x:v>
      </x:c>
      <x:c r="K158" s="32" t="str">
        <x:v>P0 Critical</x:v>
      </x:c>
      <x:c r="L158" s="32" t="str">
        <x:v>Not Started</x:v>
      </x:c>
      <x:c r="M158" s="32" t="str">
        <x:v>☐</x:v>
      </x:c>
      <x:c r="N158" s="32" t="str">
        <x:v>Fixes</x:v>
      </x:c>
      <x:c r="O158" s="32" t="str">
        <x:v>No</x:v>
      </x:c>
      <x:c r="P158" s="32" t="str"/>
      <x:c r="Q158" s="32" t="str"/>
      <x:c r="R158" s="32" t="str">
        <x:v>Inspection checklist</x:v>
      </x:c>
      <x:c r="S158" s="32" t="str">
        <x:v>Kenny</x:v>
      </x:c>
      <x:c r="T158" s="40" t="n">
        <x:f>IF($M158="☑",1,IF($L158="In Progress",0.5,0))</x:f>
        <x:v>0</x:v>
      </x:c>
      <x:c r="U158" s="32" t="n">
        <x:f>IF($J158="","",$J158-TODAY())</x:f>
        <x:v>62</x:v>
      </x:c>
    </x:row>
    <x:row r="159">
      <x:c r="A159" s="32" t="str">
        <x:v>T155</x:v>
      </x:c>
      <x:c r="B159" s="36" t="n">
        <x:v>46254</x:v>
      </x:c>
      <x:c r="C159" s="32" t="str">
        <x:v>W34</x:v>
      </x:c>
      <x:c r="D159" s="32" t="str">
        <x:v>19. Race Readiness</x:v>
      </x:c>
      <x:c r="E159" s="32" t="str">
        <x:v>Pre-tech checklist</x:v>
      </x:c>
      <x:c r="F159" s="32" t="str">
        <x:v>Evening / focused block</x:v>
      </x:c>
      <x:c r="G159" s="32" t="str">
        <x:v>Run full pre-tech checklist: dimensions, weight, no battery/stored energy, brakes, steering, safety gear.</x:v>
      </x:c>
      <x:c r="H159" s="32" t="str">
        <x:v>Pre-tech checklist 1</x:v>
      </x:c>
      <x:c r="I159" s="38" t="n">
        <x:v>1</x:v>
      </x:c>
      <x:c r="J159" s="36" t="n">
        <x:v>46254</x:v>
      </x:c>
      <x:c r="K159" s="32" t="str">
        <x:v>P0 Critical</x:v>
      </x:c>
      <x:c r="L159" s="32" t="str">
        <x:v>Not Started</x:v>
      </x:c>
      <x:c r="M159" s="32" t="str">
        <x:v>☐</x:v>
      </x:c>
      <x:c r="N159" s="32" t="str">
        <x:v>As-built v1</x:v>
      </x:c>
      <x:c r="O159" s="32" t="str">
        <x:v>No</x:v>
      </x:c>
      <x:c r="P159" s="32" t="str"/>
      <x:c r="Q159" s="32" t="str"/>
      <x:c r="R159" s="32" t="str">
        <x:v>Build Readiness Gate</x:v>
      </x:c>
      <x:c r="S159" s="32" t="str">
        <x:v>Kenny</x:v>
      </x:c>
      <x:c r="T159" s="40" t="n">
        <x:f>IF($M159="☑",1,IF($L159="In Progress",0.5,0))</x:f>
        <x:v>0</x:v>
      </x:c>
      <x:c r="U159" s="32" t="n">
        <x:f>IF($J159="","",$J159-TODAY())</x:f>
        <x:v>63</x:v>
      </x:c>
    </x:row>
    <x:row r="160">
      <x:c r="A160" s="32" t="str">
        <x:v>T156</x:v>
      </x:c>
      <x:c r="B160" s="36" t="n">
        <x:v>46254</x:v>
      </x:c>
      <x:c r="C160" s="32" t="str">
        <x:v>W34</x:v>
      </x:c>
      <x:c r="D160" s="32" t="str">
        <x:v>19. Race Readiness</x:v>
      </x:c>
      <x:c r="E160" s="32" t="str">
        <x:v>Pre-tech checklist</x:v>
      </x:c>
      <x:c r="F160" s="32" t="str">
        <x:v>Evening / focused block</x:v>
      </x:c>
      <x:c r="G160" s="32" t="str">
        <x:v>Photograph evidence for each checklist item and store it in /06_buildlog.</x:v>
      </x:c>
      <x:c r="H160" s="32" t="str">
        <x:v>Evidence folder</x:v>
      </x:c>
      <x:c r="I160" s="38" t="n">
        <x:v>0.6</x:v>
      </x:c>
      <x:c r="J160" s="36" t="n">
        <x:v>46254</x:v>
      </x:c>
      <x:c r="K160" s="32" t="str">
        <x:v>P1 High</x:v>
      </x:c>
      <x:c r="L160" s="32" t="str">
        <x:v>Not Started</x:v>
      </x:c>
      <x:c r="M160" s="32" t="str">
        <x:v>☐</x:v>
      </x:c>
      <x:c r="N160" s="32" t="str">
        <x:v>Pre-tech checklist</x:v>
      </x:c>
      <x:c r="O160" s="32" t="str">
        <x:v>No</x:v>
      </x:c>
      <x:c r="P160" s="32" t="str"/>
      <x:c r="Q160" s="32" t="str"/>
      <x:c r="R160" s="32" t="str">
        <x:v>Project folder</x:v>
      </x:c>
      <x:c r="S160" s="32" t="str">
        <x:v>Kenny</x:v>
      </x:c>
      <x:c r="T160" s="40" t="n">
        <x:f>IF($M160="☑",1,IF($L160="In Progress",0.5,0))</x:f>
        <x:v>0</x:v>
      </x:c>
      <x:c r="U160" s="32" t="n">
        <x:f>IF($J160="","",$J160-TODAY())</x:f>
        <x:v>63</x:v>
      </x:c>
    </x:row>
    <x:row r="161">
      <x:c r="A161" s="32" t="str">
        <x:v>T157</x:v>
      </x:c>
      <x:c r="B161" s="36" t="n">
        <x:v>46255</x:v>
      </x:c>
      <x:c r="C161" s="32" t="str">
        <x:v>W34</x:v>
      </x:c>
      <x:c r="D161" s="32" t="str">
        <x:v>19. Race Readiness</x:v>
      </x:c>
      <x:c r="E161" s="32" t="str">
        <x:v>Final livery and recognisability</x:v>
      </x:c>
      <x:c r="F161" s="32" t="str">
        <x:v>Evening / focused block</x:v>
      </x:c>
      <x:c r="G161" s="32" t="str">
        <x:v>Apply final non-sensitive livery/logos only after approvals; otherwise use fallback graphics.</x:v>
      </x:c>
      <x:c r="H161" s="32" t="str">
        <x:v>Final livery v1</x:v>
      </x:c>
      <x:c r="I161" s="38" t="n">
        <x:v>1.2</x:v>
      </x:c>
      <x:c r="J161" s="36" t="n">
        <x:v>46255</x:v>
      </x:c>
      <x:c r="K161" s="32" t="str">
        <x:v>P2 Medium</x:v>
      </x:c>
      <x:c r="L161" s="32" t="str">
        <x:v>Not Started</x:v>
      </x:c>
      <x:c r="M161" s="32" t="str">
        <x:v>☐</x:v>
      </x:c>
      <x:c r="N161" s="32" t="str">
        <x:v>Sponsor approval</x:v>
      </x:c>
      <x:c r="O161" s="32" t="str">
        <x:v>No</x:v>
      </x:c>
      <x:c r="P161" s="32" t="str"/>
      <x:c r="Q161" s="32" t="str"/>
      <x:c r="R161" s="32" t="str">
        <x:v>Workshop</x:v>
      </x:c>
      <x:c r="S161" s="32" t="str">
        <x:v>Kenny</x:v>
      </x:c>
      <x:c r="T161" s="40" t="n">
        <x:f>IF($M161="☑",1,IF($L161="In Progress",0.5,0))</x:f>
        <x:v>0</x:v>
      </x:c>
      <x:c r="U161" s="32" t="n">
        <x:f>IF($J161="","",$J161-TODAY())</x:f>
        <x:v>64</x:v>
      </x:c>
    </x:row>
    <x:row r="162">
      <x:c r="A162" s="32" t="str">
        <x:v>T158</x:v>
      </x:c>
      <x:c r="B162" s="36" t="n">
        <x:v>46255</x:v>
      </x:c>
      <x:c r="C162" s="32" t="str">
        <x:v>W34</x:v>
      </x:c>
      <x:c r="D162" s="32" t="str">
        <x:v>19. Race Readiness</x:v>
      </x:c>
      <x:c r="E162" s="32" t="str">
        <x:v>Final livery and recognisability</x:v>
      </x:c>
      <x:c r="F162" s="32" t="str">
        <x:v>Evening / focused block</x:v>
      </x:c>
      <x:c r="G162" s="32" t="str">
        <x:v>Run one-second recognition test with 3 people; adjust if the gas-heater read is weak.</x:v>
      </x:c>
      <x:c r="H162" s="32" t="str">
        <x:v>Recognition test final</x:v>
      </x:c>
      <x:c r="I162" s="38" t="n">
        <x:v>0.5</x:v>
      </x:c>
      <x:c r="J162" s="36" t="n">
        <x:v>46255</x:v>
      </x:c>
      <x:c r="K162" s="32" t="str">
        <x:v>P1 High</x:v>
      </x:c>
      <x:c r="L162" s="32" t="str">
        <x:v>Not Started</x:v>
      </x:c>
      <x:c r="M162" s="32" t="str">
        <x:v>☐</x:v>
      </x:c>
      <x:c r="N162" s="32" t="str">
        <x:v>Final livery</x:v>
      </x:c>
      <x:c r="O162" s="32" t="str">
        <x:v>No</x:v>
      </x:c>
      <x:c r="P162" s="32" t="str"/>
      <x:c r="Q162" s="32" t="str"/>
      <x:c r="R162" s="32" t="str">
        <x:v>Feedback notes</x:v>
      </x:c>
      <x:c r="S162" s="32" t="str">
        <x:v>Kenny</x:v>
      </x:c>
      <x:c r="T162" s="40" t="n">
        <x:f>IF($M162="☑",1,IF($L162="In Progress",0.5,0))</x:f>
        <x:v>0</x:v>
      </x:c>
      <x:c r="U162" s="32" t="n">
        <x:f>IF($J162="","",$J162-TODAY())</x:f>
        <x:v>64</x:v>
      </x:c>
    </x:row>
    <x:row r="163">
      <x:c r="A163" s="32" t="str">
        <x:v>T159</x:v>
      </x:c>
      <x:c r="B163" s="36" t="n">
        <x:v>46256</x:v>
      </x:c>
      <x:c r="C163" s="32" t="str">
        <x:v>W34</x:v>
      </x:c>
      <x:c r="D163" s="32" t="str">
        <x:v>19. Race Readiness</x:v>
      </x:c>
      <x:c r="E163" s="32" t="str">
        <x:v>Full dress rehearsal test</x:v>
      </x:c>
      <x:c r="F163" s="32" t="str">
        <x:v>Weekend build block</x:v>
      </x:c>
      <x:c r="G163" s="32" t="str">
        <x:v>Run full pre-run checklist, skit rehearsal, push/start sequence, low/medium coast test.</x:v>
      </x:c>
      <x:c r="H163" s="32" t="str">
        <x:v>Dress rehearsal test</x:v>
      </x:c>
      <x:c r="I163" s="38" t="n">
        <x:v>2</x:v>
      </x:c>
      <x:c r="J163" s="36" t="n">
        <x:v>46256</x:v>
      </x:c>
      <x:c r="K163" s="32" t="str">
        <x:v>P0 Critical</x:v>
      </x:c>
      <x:c r="L163" s="32" t="str">
        <x:v>Not Started</x:v>
      </x:c>
      <x:c r="M163" s="32" t="str">
        <x:v>☐</x:v>
      </x:c>
      <x:c r="N163" s="32" t="str">
        <x:v>Pre-tech checklist</x:v>
      </x:c>
      <x:c r="O163" s="32" t="str">
        <x:v>No</x:v>
      </x:c>
      <x:c r="P163" s="32" t="str"/>
      <x:c r="Q163" s="32" t="str"/>
      <x:c r="R163" s="32" t="str">
        <x:v>Test notes</x:v>
      </x:c>
      <x:c r="S163" s="32" t="str">
        <x:v>Kenny</x:v>
      </x:c>
      <x:c r="T163" s="40" t="n">
        <x:f>IF($M163="☑",1,IF($L163="In Progress",0.5,0))</x:f>
        <x:v>0</x:v>
      </x:c>
      <x:c r="U163" s="32" t="n">
        <x:f>IF($J163="","",$J163-TODAY())</x:f>
        <x:v>65</x:v>
      </x:c>
    </x:row>
    <x:row r="164">
      <x:c r="A164" s="32" t="str">
        <x:v>T160</x:v>
      </x:c>
      <x:c r="B164" s="36" t="n">
        <x:v>46256</x:v>
      </x:c>
      <x:c r="C164" s="32" t="str">
        <x:v>W34</x:v>
      </x:c>
      <x:c r="D164" s="32" t="str">
        <x:v>19. Race Readiness</x:v>
      </x:c>
      <x:c r="E164" s="32" t="str">
        <x:v>Full dress rehearsal test</x:v>
      </x:c>
      <x:c r="F164" s="32" t="str">
        <x:v>Weekend build block</x:v>
      </x:c>
      <x:c r="G164" s="32" t="str">
        <x:v>Log every issue with severity and owner; no P0/P1 issue can remain unassigned.</x:v>
      </x:c>
      <x:c r="H164" s="32" t="str">
        <x:v>Issue log final</x:v>
      </x:c>
      <x:c r="I164" s="38" t="n">
        <x:v>0.8</x:v>
      </x:c>
      <x:c r="J164" s="36" t="n">
        <x:v>46256</x:v>
      </x:c>
      <x:c r="K164" s="32" t="str">
        <x:v>P0 Critical</x:v>
      </x:c>
      <x:c r="L164" s="32" t="str">
        <x:v>Not Started</x:v>
      </x:c>
      <x:c r="M164" s="32" t="str">
        <x:v>☐</x:v>
      </x:c>
      <x:c r="N164" s="32" t="str">
        <x:v>Dress rehearsal</x:v>
      </x:c>
      <x:c r="O164" s="32" t="str">
        <x:v>No</x:v>
      </x:c>
      <x:c r="P164" s="32" t="str"/>
      <x:c r="Q164" s="32" t="str"/>
      <x:c r="R164" s="32" t="str">
        <x:v>Risk register</x:v>
      </x:c>
      <x:c r="S164" s="32" t="str">
        <x:v>Kenny</x:v>
      </x:c>
      <x:c r="T164" s="40" t="n">
        <x:f>IF($M164="☑",1,IF($L164="In Progress",0.5,0))</x:f>
        <x:v>0</x:v>
      </x:c>
      <x:c r="U164" s="32" t="n">
        <x:f>IF($J164="","",$J164-TODAY())</x:f>
        <x:v>65</x:v>
      </x:c>
    </x:row>
    <x:row r="165">
      <x:c r="A165" s="32" t="str">
        <x:v>T161</x:v>
      </x:c>
      <x:c r="B165" s="36" t="n">
        <x:v>46256</x:v>
      </x:c>
      <x:c r="C165" s="32" t="str">
        <x:v>W34</x:v>
      </x:c>
      <x:c r="D165" s="32" t="str">
        <x:v>19. Race Readiness</x:v>
      </x:c>
      <x:c r="E165" s="32" t="str">
        <x:v>Full dress rehearsal test</x:v>
      </x:c>
      <x:c r="F165" s="32" t="str">
        <x:v>Weekend build block</x:v>
      </x:c>
      <x:c r="G165" s="32" t="str">
        <x:v>Create first public-story draft if Gate 2 passes; keep it private until safe to publish.</x:v>
      </x:c>
      <x:c r="H165" s="32" t="str">
        <x:v>Public story draft</x:v>
      </x:c>
      <x:c r="I165" s="38" t="n">
        <x:v>0.5</x:v>
      </x:c>
      <x:c r="J165" s="36" t="n">
        <x:v>46256</x:v>
      </x:c>
      <x:c r="K165" s="32" t="str">
        <x:v>P3 Low</x:v>
      </x:c>
      <x:c r="L165" s="32" t="str">
        <x:v>Not Started</x:v>
      </x:c>
      <x:c r="M165" s="32" t="str">
        <x:v>☐</x:v>
      </x:c>
      <x:c r="N165" s="32" t="str">
        <x:v>Dress rehearsal</x:v>
      </x:c>
      <x:c r="O165" s="32" t="str">
        <x:v>Yes</x:v>
      </x:c>
      <x:c r="P165" s="32" t="str">
        <x:v>Is the project ready to show publicly?</x:v>
      </x:c>
      <x:c r="Q165" s="32" t="str"/>
      <x:c r="R165" s="32" t="str">
        <x:v>Build in Public Later</x:v>
      </x:c>
      <x:c r="S165" s="32" t="str">
        <x:v>Kenny</x:v>
      </x:c>
      <x:c r="T165" s="40" t="n">
        <x:f>IF($M165="☑",1,IF($L165="In Progress",0.5,0))</x:f>
        <x:v>0</x:v>
      </x:c>
      <x:c r="U165" s="32" t="n">
        <x:f>IF($J165="","",$J165-TODAY())</x:f>
        <x:v>65</x:v>
      </x:c>
    </x:row>
    <x:row r="166">
      <x:c r="A166" s="32" t="str">
        <x:v>T162</x:v>
      </x:c>
      <x:c r="B166" s="36" t="n">
        <x:v>46257</x:v>
      </x:c>
      <x:c r="C166" s="32" t="str">
        <x:v>W34</x:v>
      </x:c>
      <x:c r="D166" s="32" t="str">
        <x:v>19. Race Readiness</x:v>
      </x:c>
      <x:c r="E166" s="32" t="str">
        <x:v>Recovery/fix buffer</x:v>
      </x:c>
      <x:c r="F166" s="32" t="str">
        <x:v>Weekend build block</x:v>
      </x:c>
      <x:c r="G166" s="32" t="str">
        <x:v>Fix dress rehearsal issues; prioritize anything affecting stopping, steering, driver safety, or structural integrity.</x:v>
      </x:c>
      <x:c r="H166" s="32" t="str">
        <x:v>Fix batch 4</x:v>
      </x:c>
      <x:c r="I166" s="38" t="n">
        <x:v>2</x:v>
      </x:c>
      <x:c r="J166" s="36" t="n">
        <x:v>46257</x:v>
      </x:c>
      <x:c r="K166" s="32" t="str">
        <x:v>P0 Critical</x:v>
      </x:c>
      <x:c r="L166" s="32" t="str">
        <x:v>Not Started</x:v>
      </x:c>
      <x:c r="M166" s="32" t="str">
        <x:v>☐</x:v>
      </x:c>
      <x:c r="N166" s="32" t="str">
        <x:v>Issue log final</x:v>
      </x:c>
      <x:c r="O166" s="32" t="str">
        <x:v>No</x:v>
      </x:c>
      <x:c r="P166" s="32" t="str"/>
      <x:c r="Q166" s="32" t="str"/>
      <x:c r="R166" s="32" t="str">
        <x:v>Workshop</x:v>
      </x:c>
      <x:c r="S166" s="32" t="str">
        <x:v>Kenny</x:v>
      </x:c>
      <x:c r="T166" s="40" t="n">
        <x:f>IF($M166="☑",1,IF($L166="In Progress",0.5,0))</x:f>
        <x:v>0</x:v>
      </x:c>
      <x:c r="U166" s="32" t="n">
        <x:f>IF($J166="","",$J166-TODAY())</x:f>
        <x:v>66</x:v>
      </x:c>
    </x:row>
    <x:row r="167">
      <x:c r="A167" s="32" t="str">
        <x:v>T163</x:v>
      </x:c>
      <x:c r="B167" s="36" t="n">
        <x:v>46257</x:v>
      </x:c>
      <x:c r="C167" s="32" t="str">
        <x:v>W34</x:v>
      </x:c>
      <x:c r="D167" s="32" t="str">
        <x:v>19. Race Readiness</x:v>
      </x:c>
      <x:c r="E167" s="32" t="str">
        <x:v>Recovery/fix buffer</x:v>
      </x:c>
      <x:c r="F167" s="32" t="str">
        <x:v>Weekend build block</x:v>
      </x:c>
      <x:c r="G167" s="32" t="str">
        <x:v>Retest only the fixed systems; avoid introducing new cosmetic changes unless necessary.</x:v>
      </x:c>
      <x:c r="H167" s="32" t="str">
        <x:v>Targeted retest</x:v>
      </x:c>
      <x:c r="I167" s="38" t="n">
        <x:v>1</x:v>
      </x:c>
      <x:c r="J167" s="36" t="n">
        <x:v>46257</x:v>
      </x:c>
      <x:c r="K167" s="32" t="str">
        <x:v>P0 Critical</x:v>
      </x:c>
      <x:c r="L167" s="32" t="str">
        <x:v>Not Started</x:v>
      </x:c>
      <x:c r="M167" s="32" t="str">
        <x:v>☐</x:v>
      </x:c>
      <x:c r="N167" s="32" t="str">
        <x:v>Fix batch 4</x:v>
      </x:c>
      <x:c r="O167" s="32" t="str">
        <x:v>No</x:v>
      </x:c>
      <x:c r="P167" s="32" t="str"/>
      <x:c r="Q167" s="32" t="str"/>
      <x:c r="R167" s="32" t="str">
        <x:v>Test notes</x:v>
      </x:c>
      <x:c r="S167" s="32" t="str">
        <x:v>Kenny</x:v>
      </x:c>
      <x:c r="T167" s="40" t="n">
        <x:f>IF($M167="☑",1,IF($L167="In Progress",0.5,0))</x:f>
        <x:v>0</x:v>
      </x:c>
      <x:c r="U167" s="32" t="n">
        <x:f>IF($J167="","",$J167-TODAY())</x:f>
        <x:v>66</x:v>
      </x:c>
    </x:row>
    <x:row r="168">
      <x:c r="A168" s="32" t="str">
        <x:v>T164</x:v>
      </x:c>
      <x:c r="B168" s="36" t="n">
        <x:v>46258</x:v>
      </x:c>
      <x:c r="C168" s="32" t="str">
        <x:v>W35</x:v>
      </x:c>
      <x:c r="D168" s="32" t="str">
        <x:v>19. Race Readiness</x:v>
      </x:c>
      <x:c r="E168" s="32" t="str">
        <x:v>Documentation pack</x:v>
      </x:c>
      <x:c r="F168" s="32" t="str">
        <x:v>Evening / focused block</x:v>
      </x:c>
      <x:c r="G168" s="32" t="str">
        <x:v>Assemble as-built pack: drawings, BOM, photos, checklist, known spares/tools list.</x:v>
      </x:c>
      <x:c r="H168" s="32" t="str">
        <x:v>As-built pack</x:v>
      </x:c>
      <x:c r="I168" s="38" t="n">
        <x:v>1</x:v>
      </x:c>
      <x:c r="J168" s="36" t="n">
        <x:v>46258</x:v>
      </x:c>
      <x:c r="K168" s="32" t="str">
        <x:v>P1 High</x:v>
      </x:c>
      <x:c r="L168" s="32" t="str">
        <x:v>Not Started</x:v>
      </x:c>
      <x:c r="M168" s="32" t="str">
        <x:v>☐</x:v>
      </x:c>
      <x:c r="N168" s="32" t="str">
        <x:v>As-built v1</x:v>
      </x:c>
      <x:c r="O168" s="32" t="str">
        <x:v>No</x:v>
      </x:c>
      <x:c r="P168" s="32" t="str"/>
      <x:c r="Q168" s="32" t="str"/>
      <x:c r="R168" s="32" t="str">
        <x:v>Project folder</x:v>
      </x:c>
      <x:c r="S168" s="32" t="str">
        <x:v>Kenny</x:v>
      </x:c>
      <x:c r="T168" s="40" t="n">
        <x:f>IF($M168="☑",1,IF($L168="In Progress",0.5,0))</x:f>
        <x:v>0</x:v>
      </x:c>
      <x:c r="U168" s="32" t="n">
        <x:f>IF($J168="","",$J168-TODAY())</x:f>
        <x:v>67</x:v>
      </x:c>
    </x:row>
    <x:row r="169">
      <x:c r="A169" s="32" t="str">
        <x:v>T165</x:v>
      </x:c>
      <x:c r="B169" s="36" t="n">
        <x:v>46258</x:v>
      </x:c>
      <x:c r="C169" s="32" t="str">
        <x:v>W35</x:v>
      </x:c>
      <x:c r="D169" s="32" t="str">
        <x:v>19. Race Readiness</x:v>
      </x:c>
      <x:c r="E169" s="32" t="str">
        <x:v>Documentation pack</x:v>
      </x:c>
      <x:c r="F169" s="32" t="str">
        <x:v>Evening / focused block</x:v>
      </x:c>
      <x:c r="G169" s="32" t="str">
        <x:v>Create race/test-day tool kit list: spanners, spare bolts, tape, zip ties, pump, brake cable, first aid.</x:v>
      </x:c>
      <x:c r="H169" s="32" t="str">
        <x:v>Tool kit list</x:v>
      </x:c>
      <x:c r="I169" s="38" t="n">
        <x:v>0.6</x:v>
      </x:c>
      <x:c r="J169" s="36" t="n">
        <x:v>46258</x:v>
      </x:c>
      <x:c r="K169" s="32" t="str">
        <x:v>P1 High</x:v>
      </x:c>
      <x:c r="L169" s="32" t="str">
        <x:v>Not Started</x:v>
      </x:c>
      <x:c r="M169" s="32" t="str">
        <x:v>☐</x:v>
      </x:c>
      <x:c r="N169" s="32" t="str">
        <x:v>Testing experience</x:v>
      </x:c>
      <x:c r="O169" s="32" t="str">
        <x:v>No</x:v>
      </x:c>
      <x:c r="P169" s="32" t="str"/>
      <x:c r="Q169" s="32" t="str"/>
      <x:c r="R169" s="32" t="str">
        <x:v>Race prep list</x:v>
      </x:c>
      <x:c r="S169" s="32" t="str">
        <x:v>Kenny</x:v>
      </x:c>
      <x:c r="T169" s="40" t="n">
        <x:f>IF($M169="☑",1,IF($L169="In Progress",0.5,0))</x:f>
        <x:v>0</x:v>
      </x:c>
      <x:c r="U169" s="32" t="n">
        <x:f>IF($J169="","",$J169-TODAY())</x:f>
        <x:v>67</x:v>
      </x:c>
    </x:row>
    <x:row r="170">
      <x:c r="A170" s="32" t="str">
        <x:v>T166</x:v>
      </x:c>
      <x:c r="B170" s="36" t="n">
        <x:v>46259</x:v>
      </x:c>
      <x:c r="C170" s="32" t="str">
        <x:v>W35</x:v>
      </x:c>
      <x:c r="D170" s="32" t="str">
        <x:v>19. Race Readiness</x:v>
      </x:c>
      <x:c r="E170" s="32" t="str">
        <x:v>Spares + transport plan</x:v>
      </x:c>
      <x:c r="F170" s="32" t="str">
        <x:v>Evening / focused block</x:v>
      </x:c>
      <x:c r="G170" s="32" t="str">
        <x:v>Source spares: fasteners, cable ties, brake cable/pads, wheel tube/bearing if possible.</x:v>
      </x:c>
      <x:c r="H170" s="32" t="str">
        <x:v>Spares pack</x:v>
      </x:c>
      <x:c r="I170" s="38" t="n">
        <x:v>0.8</x:v>
      </x:c>
      <x:c r="J170" s="36" t="n">
        <x:v>46259</x:v>
      </x:c>
      <x:c r="K170" s="32" t="str">
        <x:v>P1 High</x:v>
      </x:c>
      <x:c r="L170" s="32" t="str">
        <x:v>Not Started</x:v>
      </x:c>
      <x:c r="M170" s="32" t="str">
        <x:v>☐</x:v>
      </x:c>
      <x:c r="N170" s="32" t="str">
        <x:v>Tool kit list</x:v>
      </x:c>
      <x:c r="O170" s="32" t="str">
        <x:v>No</x:v>
      </x:c>
      <x:c r="P170" s="32" t="str"/>
      <x:c r="Q170" s="32" t="str"/>
      <x:c r="R170" s="32" t="str">
        <x:v>BOM</x:v>
      </x:c>
      <x:c r="S170" s="32" t="str">
        <x:v>Kenny</x:v>
      </x:c>
      <x:c r="T170" s="40" t="n">
        <x:f>IF($M170="☑",1,IF($L170="In Progress",0.5,0))</x:f>
        <x:v>0</x:v>
      </x:c>
      <x:c r="U170" s="32" t="n">
        <x:f>IF($J170="","",$J170-TODAY())</x:f>
        <x:v>68</x:v>
      </x:c>
    </x:row>
    <x:row r="171">
      <x:c r="A171" s="32" t="str">
        <x:v>T167</x:v>
      </x:c>
      <x:c r="B171" s="36" t="n">
        <x:v>46259</x:v>
      </x:c>
      <x:c r="C171" s="32" t="str">
        <x:v>W35</x:v>
      </x:c>
      <x:c r="D171" s="32" t="str">
        <x:v>19. Race Readiness</x:v>
      </x:c>
      <x:c r="E171" s="32" t="str">
        <x:v>Spares + transport plan</x:v>
      </x:c>
      <x:c r="F171" s="32" t="str">
        <x:v>Evening / focused block</x:v>
      </x:c>
      <x:c r="G171" s="32" t="str">
        <x:v>Plan transport/storage: cart dimensions, loading method, straps, weather protection, helpers.</x:v>
      </x:c>
      <x:c r="H171" s="32" t="str">
        <x:v>Transport plan</x:v>
      </x:c>
      <x:c r="I171" s="38" t="n">
        <x:v>0.8</x:v>
      </x:c>
      <x:c r="J171" s="36" t="n">
        <x:v>46259</x:v>
      </x:c>
      <x:c r="K171" s="32" t="str">
        <x:v>P1 High</x:v>
      </x:c>
      <x:c r="L171" s="32" t="str">
        <x:v>Not Started</x:v>
      </x:c>
      <x:c r="M171" s="32" t="str">
        <x:v>☐</x:v>
      </x:c>
      <x:c r="N171" s="32" t="str">
        <x:v>As-built dimensions</x:v>
      </x:c>
      <x:c r="O171" s="32" t="str">
        <x:v>Yes</x:v>
      </x:c>
      <x:c r="P171" s="32" t="str">
        <x:v>How will the finished cart be moved safely?</x:v>
      </x:c>
      <x:c r="Q171" s="32" t="str"/>
      <x:c r="R171" s="32" t="str">
        <x:v>Logistics notes</x:v>
      </x:c>
      <x:c r="S171" s="32" t="str">
        <x:v>Kenny</x:v>
      </x:c>
      <x:c r="T171" s="40" t="n">
        <x:f>IF($M171="☑",1,IF($L171="In Progress",0.5,0))</x:f>
        <x:v>0</x:v>
      </x:c>
      <x:c r="U171" s="32" t="n">
        <x:f>IF($J171="","",$J171-TODAY())</x:f>
        <x:v>68</x:v>
      </x:c>
    </x:row>
    <x:row r="172">
      <x:c r="A172" s="32" t="str">
        <x:v>T168</x:v>
      </x:c>
      <x:c r="B172" s="36" t="n">
        <x:v>46260</x:v>
      </x:c>
      <x:c r="C172" s="32" t="str">
        <x:v>W35</x:v>
      </x:c>
      <x:c r="D172" s="32" t="str">
        <x:v>19. Race Readiness</x:v>
      </x:c>
      <x:c r="E172" s="32" t="str">
        <x:v>Final medium test or controlled static review</x:v>
      </x:c>
      <x:c r="F172" s="32" t="str">
        <x:v>Evening / focused block</x:v>
      </x:c>
      <x:c r="G172" s="32" t="str">
        <x:v>If safe/legal, run final controlled medium test; otherwise run static/brake/steering inspection only.</x:v>
      </x:c>
      <x:c r="H172" s="32" t="str">
        <x:v>Final test/review</x:v>
      </x:c>
      <x:c r="I172" s="38" t="n">
        <x:v>1.2</x:v>
      </x:c>
      <x:c r="J172" s="36" t="n">
        <x:v>46260</x:v>
      </x:c>
      <x:c r="K172" s="32" t="str">
        <x:v>P0 Critical</x:v>
      </x:c>
      <x:c r="L172" s="32" t="str">
        <x:v>Not Started</x:v>
      </x:c>
      <x:c r="M172" s="32" t="str">
        <x:v>☐</x:v>
      </x:c>
      <x:c r="N172" s="32" t="str">
        <x:v>Fix batch 4</x:v>
      </x:c>
      <x:c r="O172" s="32" t="str">
        <x:v>Yes</x:v>
      </x:c>
      <x:c r="P172" s="32" t="str">
        <x:v>Run another test or preserve the cart?</x:v>
      </x:c>
      <x:c r="Q172" s="32" t="str"/>
      <x:c r="R172" s="32" t="str">
        <x:v>Decision Log</x:v>
      </x:c>
      <x:c r="S172" s="32" t="str">
        <x:v>Kenny</x:v>
      </x:c>
      <x:c r="T172" s="40" t="n">
        <x:f>IF($M172="☑",1,IF($L172="In Progress",0.5,0))</x:f>
        <x:v>0</x:v>
      </x:c>
      <x:c r="U172" s="32" t="n">
        <x:f>IF($J172="","",$J172-TODAY())</x:f>
        <x:v>69</x:v>
      </x:c>
    </x:row>
    <x:row r="173">
      <x:c r="A173" s="32" t="str">
        <x:v>T169</x:v>
      </x:c>
      <x:c r="B173" s="36" t="n">
        <x:v>46260</x:v>
      </x:c>
      <x:c r="C173" s="32" t="str">
        <x:v>W35</x:v>
      </x:c>
      <x:c r="D173" s="32" t="str">
        <x:v>19. Race Readiness</x:v>
      </x:c>
      <x:c r="E173" s="32" t="str">
        <x:v>Final medium test or controlled static review</x:v>
      </x:c>
      <x:c r="F173" s="32" t="str">
        <x:v>Evening / focused block</x:v>
      </x:c>
      <x:c r="G173" s="32" t="str">
        <x:v>Record final handling/stopping/effect notes and freeze tuning settings.</x:v>
      </x:c>
      <x:c r="H173" s="32" t="str">
        <x:v>Final tuning settings</x:v>
      </x:c>
      <x:c r="I173" s="38" t="n">
        <x:v>0.6</x:v>
      </x:c>
      <x:c r="J173" s="36" t="n">
        <x:v>46260</x:v>
      </x:c>
      <x:c r="K173" s="32" t="str">
        <x:v>P0 Critical</x:v>
      </x:c>
      <x:c r="L173" s="32" t="str">
        <x:v>Not Started</x:v>
      </x:c>
      <x:c r="M173" s="32" t="str">
        <x:v>☐</x:v>
      </x:c>
      <x:c r="N173" s="32" t="str">
        <x:v>Final test</x:v>
      </x:c>
      <x:c r="O173" s="32" t="str">
        <x:v>No</x:v>
      </x:c>
      <x:c r="P173" s="32" t="str"/>
      <x:c r="Q173" s="32" t="str"/>
      <x:c r="R173" s="32" t="str">
        <x:v>Test notes</x:v>
      </x:c>
      <x:c r="S173" s="32" t="str">
        <x:v>Kenny</x:v>
      </x:c>
      <x:c r="T173" s="40" t="n">
        <x:f>IF($M173="☑",1,IF($L173="In Progress",0.5,0))</x:f>
        <x:v>0</x:v>
      </x:c>
      <x:c r="U173" s="32" t="n">
        <x:f>IF($J173="","",$J173-TODAY())</x:f>
        <x:v>69</x:v>
      </x:c>
    </x:row>
    <x:row r="174">
      <x:c r="A174" s="32" t="str">
        <x:v>T170</x:v>
      </x:c>
      <x:c r="B174" s="36" t="n">
        <x:v>46261</x:v>
      </x:c>
      <x:c r="C174" s="32" t="str">
        <x:v>W35</x:v>
      </x:c>
      <x:c r="D174" s="32" t="str">
        <x:v>19. Race Readiness</x:v>
      </x:c>
      <x:c r="E174" s="32" t="str">
        <x:v>Freeze build changes</x:v>
      </x:c>
      <x:c r="F174" s="32" t="str">
        <x:v>Evening / focused block</x:v>
      </x:c>
      <x:c r="G174" s="32" t="str">
        <x:v>Declare build freeze: only safety fixes and approved reliability fixes after this point.</x:v>
      </x:c>
      <x:c r="H174" s="32" t="str">
        <x:v>Build freeze note</x:v>
      </x:c>
      <x:c r="I174" s="38" t="n">
        <x:v>0.4</x:v>
      </x:c>
      <x:c r="J174" s="36" t="n">
        <x:v>46261</x:v>
      </x:c>
      <x:c r="K174" s="32" t="str">
        <x:v>P0 Critical</x:v>
      </x:c>
      <x:c r="L174" s="32" t="str">
        <x:v>Not Started</x:v>
      </x:c>
      <x:c r="M174" s="32" t="str">
        <x:v>☐</x:v>
      </x:c>
      <x:c r="N174" s="32" t="str">
        <x:v>Final tuning</x:v>
      </x:c>
      <x:c r="O174" s="32" t="str">
        <x:v>Yes</x:v>
      </x:c>
      <x:c r="P174" s="32" t="str">
        <x:v>Is the cart stable enough to freeze?</x:v>
      </x:c>
      <x:c r="Q174" s="32" t="str"/>
      <x:c r="R174" s="32" t="str">
        <x:v>Decision Log</x:v>
      </x:c>
      <x:c r="S174" s="32" t="str">
        <x:v>Kenny</x:v>
      </x:c>
      <x:c r="T174" s="40" t="n">
        <x:f>IF($M174="☑",1,IF($L174="In Progress",0.5,0))</x:f>
        <x:v>0</x:v>
      </x:c>
      <x:c r="U174" s="32" t="n">
        <x:f>IF($J174="","",$J174-TODAY())</x:f>
        <x:v>70</x:v>
      </x:c>
    </x:row>
    <x:row r="175">
      <x:c r="A175" s="32" t="str">
        <x:v>T171</x:v>
      </x:c>
      <x:c r="B175" s="36" t="n">
        <x:v>46261</x:v>
      </x:c>
      <x:c r="C175" s="32" t="str">
        <x:v>W35</x:v>
      </x:c>
      <x:c r="D175" s="32" t="str">
        <x:v>19. Race Readiness</x:v>
      </x:c>
      <x:c r="E175" s="32" t="str">
        <x:v>Freeze build changes</x:v>
      </x:c>
      <x:c r="F175" s="32" t="str">
        <x:v>Evening / focused block</x:v>
      </x:c>
      <x:c r="G175" s="32" t="str">
        <x:v>Label removable panels, tools, spares, and setup steps so helpers can assist quickly.</x:v>
      </x:c>
      <x:c r="H175" s="32" t="str">
        <x:v>Labels/setup notes</x:v>
      </x:c>
      <x:c r="I175" s="38" t="n">
        <x:v>0.8</x:v>
      </x:c>
      <x:c r="J175" s="36" t="n">
        <x:v>46261</x:v>
      </x:c>
      <x:c r="K175" s="32" t="str">
        <x:v>P2 Medium</x:v>
      </x:c>
      <x:c r="L175" s="32" t="str">
        <x:v>Not Started</x:v>
      </x:c>
      <x:c r="M175" s="32" t="str">
        <x:v>☐</x:v>
      </x:c>
      <x:c r="N175" s="32" t="str">
        <x:v>As-built pack</x:v>
      </x:c>
      <x:c r="O175" s="32" t="str">
        <x:v>No</x:v>
      </x:c>
      <x:c r="P175" s="32" t="str"/>
      <x:c r="Q175" s="32" t="str"/>
      <x:c r="R175" s="32" t="str">
        <x:v>Workshop</x:v>
      </x:c>
      <x:c r="S175" s="32" t="str">
        <x:v>Kenny</x:v>
      </x:c>
      <x:c r="T175" s="40" t="n">
        <x:f>IF($M175="☑",1,IF($L175="In Progress",0.5,0))</x:f>
        <x:v>0</x:v>
      </x:c>
      <x:c r="U175" s="32" t="n">
        <x:f>IF($J175="","",$J175-TODAY())</x:f>
        <x:v>70</x:v>
      </x:c>
    </x:row>
    <x:row r="176">
      <x:c r="A176" s="32" t="str">
        <x:v>T172</x:v>
      </x:c>
      <x:c r="B176" s="36" t="n">
        <x:v>46262</x:v>
      </x:c>
      <x:c r="C176" s="32" t="str">
        <x:v>W35</x:v>
      </x:c>
      <x:c r="D176" s="32" t="str">
        <x:v>19. Race Readiness</x:v>
      </x:c>
      <x:c r="E176" s="32" t="str">
        <x:v>Public update decision</x:v>
      </x:c>
      <x:c r="F176" s="32" t="str">
        <x:v>Evening / focused block</x:v>
      </x:c>
      <x:c r="G176" s="32" t="str">
        <x:v>Review public story assets: safe clips, lessons learned, sponsor approvals, no private risk info.</x:v>
      </x:c>
      <x:c r="H176" s="32" t="str">
        <x:v>Public asset review</x:v>
      </x:c>
      <x:c r="I176" s="38" t="n">
        <x:v>0.8</x:v>
      </x:c>
      <x:c r="J176" s="36" t="n">
        <x:v>46262</x:v>
      </x:c>
      <x:c r="K176" s="32" t="str">
        <x:v>P3 Low</x:v>
      </x:c>
      <x:c r="L176" s="32" t="str">
        <x:v>Not Started</x:v>
      </x:c>
      <x:c r="M176" s="32" t="str">
        <x:v>☐</x:v>
      </x:c>
      <x:c r="N176" s="32" t="str">
        <x:v>Public story draft</x:v>
      </x:c>
      <x:c r="O176" s="32" t="str">
        <x:v>Yes</x:v>
      </x:c>
      <x:c r="P176" s="32" t="str">
        <x:v>Launch follow-our-story now, later, or after selection confirmation?</x:v>
      </x:c>
      <x:c r="Q176" s="32" t="str"/>
      <x:c r="R176" s="32" t="str">
        <x:v>Build in Public Later</x:v>
      </x:c>
      <x:c r="S176" s="32" t="str">
        <x:v>Kenny</x:v>
      </x:c>
      <x:c r="T176" s="40" t="n">
        <x:f>IF($M176="☑",1,IF($L176="In Progress",0.5,0))</x:f>
        <x:v>0</x:v>
      </x:c>
      <x:c r="U176" s="32" t="n">
        <x:f>IF($J176="","",$J176-TODAY())</x:f>
        <x:v>71</x:v>
      </x:c>
    </x:row>
    <x:row r="177">
      <x:c r="A177" s="32" t="str">
        <x:v>T173</x:v>
      </x:c>
      <x:c r="B177" s="36" t="n">
        <x:v>46262</x:v>
      </x:c>
      <x:c r="C177" s="32" t="str">
        <x:v>W35</x:v>
      </x:c>
      <x:c r="D177" s="32" t="str">
        <x:v>19. Race Readiness</x:v>
      </x:c>
      <x:c r="E177" s="32" t="str">
        <x:v>Public update decision</x:v>
      </x:c>
      <x:c r="F177" s="32" t="str">
        <x:v>Evening / focused block</x:v>
      </x:c>
      <x:c r="G177" s="32" t="str">
        <x:v>Prepare simple update template: what changed, what was tested, next milestone, one photo/clip.</x:v>
      </x:c>
      <x:c r="H177" s="32" t="str">
        <x:v>Update template</x:v>
      </x:c>
      <x:c r="I177" s="38" t="n">
        <x:v>0.6</x:v>
      </x:c>
      <x:c r="J177" s="36" t="n">
        <x:v>46262</x:v>
      </x:c>
      <x:c r="K177" s="32" t="str">
        <x:v>P3 Low</x:v>
      </x:c>
      <x:c r="L177" s="32" t="str">
        <x:v>Not Started</x:v>
      </x:c>
      <x:c r="M177" s="32" t="str">
        <x:v>☐</x:v>
      </x:c>
      <x:c r="N177" s="32" t="str">
        <x:v>Public asset review</x:v>
      </x:c>
      <x:c r="O177" s="32" t="str">
        <x:v>No</x:v>
      </x:c>
      <x:c r="P177" s="32" t="str"/>
      <x:c r="Q177" s="32" t="str"/>
      <x:c r="R177" s="32" t="str">
        <x:v>Build in Public Later</x:v>
      </x:c>
      <x:c r="S177" s="32" t="str">
        <x:v>Kenny</x:v>
      </x:c>
      <x:c r="T177" s="40" t="n">
        <x:f>IF($M177="☑",1,IF($L177="In Progress",0.5,0))</x:f>
        <x:v>0</x:v>
      </x:c>
      <x:c r="U177" s="32" t="n">
        <x:f>IF($J177="","",$J177-TODAY())</x:f>
        <x:v>71</x:v>
      </x:c>
    </x:row>
    <x:row r="178">
      <x:c r="A178" s="32" t="str">
        <x:v>T174</x:v>
      </x:c>
      <x:c r="B178" s="36" t="n">
        <x:v>46263</x:v>
      </x:c>
      <x:c r="C178" s="32" t="str">
        <x:v>W35</x:v>
      </x:c>
      <x:c r="D178" s="32" t="str">
        <x:v>19. Race Readiness</x:v>
      </x:c>
      <x:c r="E178" s="32" t="str">
        <x:v>Final polish + no-drama checks</x:v>
      </x:c>
      <x:c r="F178" s="32" t="str">
        <x:v>Weekend build block</x:v>
      </x:c>
      <x:c r="G178" s="32" t="str">
        <x:v>Light polish/paint touch-ups only where they cannot hide defects or add significant weight.</x:v>
      </x:c>
      <x:c r="H178" s="32" t="str">
        <x:v>Touch-ups</x:v>
      </x:c>
      <x:c r="I178" s="38" t="n">
        <x:v>1</x:v>
      </x:c>
      <x:c r="J178" s="36" t="n">
        <x:v>46263</x:v>
      </x:c>
      <x:c r="K178" s="32" t="str">
        <x:v>P3 Low</x:v>
      </x:c>
      <x:c r="L178" s="32" t="str">
        <x:v>Not Started</x:v>
      </x:c>
      <x:c r="M178" s="32" t="str">
        <x:v>☐</x:v>
      </x:c>
      <x:c r="N178" s="32" t="str">
        <x:v>Build freeze</x:v>
      </x:c>
      <x:c r="O178" s="32" t="str">
        <x:v>No</x:v>
      </x:c>
      <x:c r="P178" s="32" t="str"/>
      <x:c r="Q178" s="32" t="str"/>
      <x:c r="R178" s="32" t="str">
        <x:v>Workshop</x:v>
      </x:c>
      <x:c r="S178" s="32" t="str">
        <x:v>Kenny</x:v>
      </x:c>
      <x:c r="T178" s="40" t="n">
        <x:f>IF($M178="☑",1,IF($L178="In Progress",0.5,0))</x:f>
        <x:v>0</x:v>
      </x:c>
      <x:c r="U178" s="32" t="n">
        <x:f>IF($J178="","",$J178-TODAY())</x:f>
        <x:v>72</x:v>
      </x:c>
    </x:row>
    <x:row r="179">
      <x:c r="A179" s="32" t="str">
        <x:v>T175</x:v>
      </x:c>
      <x:c r="B179" s="36" t="n">
        <x:v>46263</x:v>
      </x:c>
      <x:c r="C179" s="32" t="str">
        <x:v>W35</x:v>
      </x:c>
      <x:c r="D179" s="32" t="str">
        <x:v>19. Race Readiness</x:v>
      </x:c>
      <x:c r="E179" s="32" t="str">
        <x:v>Final polish + no-drama checks</x:v>
      </x:c>
      <x:c r="F179" s="32" t="str">
        <x:v>Weekend build block</x:v>
      </x:c>
      <x:c r="G179" s="32" t="str">
        <x:v>Final fastener, steering, brake, wheel, body, effect, and PPE checklist run.</x:v>
      </x:c>
      <x:c r="H179" s="32" t="str">
        <x:v>Final checklist</x:v>
      </x:c>
      <x:c r="I179" s="38" t="n">
        <x:v>1.2</x:v>
      </x:c>
      <x:c r="J179" s="36" t="n">
        <x:v>46263</x:v>
      </x:c>
      <x:c r="K179" s="32" t="str">
        <x:v>P0 Critical</x:v>
      </x:c>
      <x:c r="L179" s="32" t="str">
        <x:v>Not Started</x:v>
      </x:c>
      <x:c r="M179" s="32" t="str">
        <x:v>☐</x:v>
      </x:c>
      <x:c r="N179" s="32" t="str">
        <x:v>Build freeze</x:v>
      </x:c>
      <x:c r="O179" s="32" t="str">
        <x:v>No</x:v>
      </x:c>
      <x:c r="P179" s="32" t="str"/>
      <x:c r="Q179" s="32" t="str"/>
      <x:c r="R179" s="32" t="str">
        <x:v>Inspection checklist</x:v>
      </x:c>
      <x:c r="S179" s="32" t="str">
        <x:v>Kenny</x:v>
      </x:c>
      <x:c r="T179" s="40" t="n">
        <x:f>IF($M179="☑",1,IF($L179="In Progress",0.5,0))</x:f>
        <x:v>0</x:v>
      </x:c>
      <x:c r="U179" s="32" t="n">
        <x:f>IF($J179="","",$J179-TODAY())</x:f>
        <x:v>72</x:v>
      </x:c>
    </x:row>
    <x:row r="180">
      <x:c r="A180" s="32" t="str">
        <x:v>T176</x:v>
      </x:c>
      <x:c r="B180" s="36" t="n">
        <x:v>46264</x:v>
      </x:c>
      <x:c r="C180" s="32" t="str">
        <x:v>W35</x:v>
      </x:c>
      <x:c r="D180" s="32" t="str">
        <x:v>19. Race Readiness</x:v>
      </x:c>
      <x:c r="E180" s="32" t="str">
        <x:v>Team rehearsal + contingency</x:v>
      </x:c>
      <x:c r="F180" s="32" t="str">
        <x:v>Weekend build block</x:v>
      </x:c>
      <x:c r="G180" s="32" t="str">
        <x:v>Rehearse start-line roles, push sequence, driver entry/exit, and emergency stop communication.</x:v>
      </x:c>
      <x:c r="H180" s="32" t="str">
        <x:v>Team runbook rehearsal</x:v>
      </x:c>
      <x:c r="I180" s="38" t="n">
        <x:v>1.2</x:v>
      </x:c>
      <x:c r="J180" s="36" t="n">
        <x:v>46264</x:v>
      </x:c>
      <x:c r="K180" s="32" t="str">
        <x:v>P1 High</x:v>
      </x:c>
      <x:c r="L180" s="32" t="str">
        <x:v>Not Started</x:v>
      </x:c>
      <x:c r="M180" s="32" t="str">
        <x:v>☐</x:v>
      </x:c>
      <x:c r="N180" s="32" t="str">
        <x:v>Performance role map</x:v>
      </x:c>
      <x:c r="O180" s="32" t="str">
        <x:v>No</x:v>
      </x:c>
      <x:c r="P180" s="32" t="str"/>
      <x:c r="Q180" s="32" t="str"/>
      <x:c r="R180" s="32" t="str">
        <x:v>Team notes</x:v>
      </x:c>
      <x:c r="S180" s="32" t="str">
        <x:v>Kenny</x:v>
      </x:c>
      <x:c r="T180" s="40" t="n">
        <x:f>IF($M180="☑",1,IF($L180="In Progress",0.5,0))</x:f>
        <x:v>0</x:v>
      </x:c>
      <x:c r="U180" s="32" t="n">
        <x:f>IF($J180="","",$J180-TODAY())</x:f>
        <x:v>73</x:v>
      </x:c>
    </x:row>
    <x:row r="181">
      <x:c r="A181" s="32" t="str">
        <x:v>T177</x:v>
      </x:c>
      <x:c r="B181" s="36" t="n">
        <x:v>46264</x:v>
      </x:c>
      <x:c r="C181" s="32" t="str">
        <x:v>W35</x:v>
      </x:c>
      <x:c r="D181" s="32" t="str">
        <x:v>19. Race Readiness</x:v>
      </x:c>
      <x:c r="E181" s="32" t="str">
        <x:v>Team rehearsal + contingency</x:v>
      </x:c>
      <x:c r="F181" s="32" t="str">
        <x:v>Weekend build block</x:v>
      </x:c>
      <x:c r="G181" s="32" t="str">
        <x:v>Create contingency list: what to cut/remove/repair quickly if inspection flags something.</x:v>
      </x:c>
      <x:c r="H181" s="32" t="str">
        <x:v>Contingency plan</x:v>
      </x:c>
      <x:c r="I181" s="38" t="n">
        <x:v>0.8</x:v>
      </x:c>
      <x:c r="J181" s="36" t="n">
        <x:v>46264</x:v>
      </x:c>
      <x:c r="K181" s="32" t="str">
        <x:v>P1 High</x:v>
      </x:c>
      <x:c r="L181" s="32" t="str">
        <x:v>Not Started</x:v>
      </x:c>
      <x:c r="M181" s="32" t="str">
        <x:v>☐</x:v>
      </x:c>
      <x:c r="N181" s="32" t="str">
        <x:v>Final checklist</x:v>
      </x:c>
      <x:c r="O181" s="32" t="str">
        <x:v>No</x:v>
      </x:c>
      <x:c r="P181" s="32" t="str"/>
      <x:c r="Q181" s="32" t="str"/>
      <x:c r="R181" s="32" t="str">
        <x:v>Risk register</x:v>
      </x:c>
      <x:c r="S181" s="32" t="str">
        <x:v>Kenny</x:v>
      </x:c>
      <x:c r="T181" s="40" t="n">
        <x:f>IF($M181="☑",1,IF($L181="In Progress",0.5,0))</x:f>
        <x:v>0</x:v>
      </x:c>
      <x:c r="U181" s="32" t="n">
        <x:f>IF($J181="","",$J181-TODAY())</x:f>
        <x:v>73</x:v>
      </x:c>
    </x:row>
    <x:row r="182">
      <x:c r="A182" s="32" t="str">
        <x:v>T178</x:v>
      </x:c>
      <x:c r="B182" s="36" t="n">
        <x:v>46265</x:v>
      </x:c>
      <x:c r="C182" s="32" t="str">
        <x:v>W36</x:v>
      </x:c>
      <x:c r="D182" s="32" t="str">
        <x:v>19. Race Readiness</x:v>
      </x:c>
      <x:c r="E182" s="32" t="str">
        <x:v>September handoff board</x:v>
      </x:c>
      <x:c r="F182" s="32" t="str">
        <x:v>Evening / focused block</x:v>
      </x:c>
      <x:c r="G182" s="32" t="str">
        <x:v>Create September maintenance/test calendar with weekly checks and no major redesigns.</x:v>
      </x:c>
      <x:c r="H182" s="32" t="str">
        <x:v>September plan</x:v>
      </x:c>
      <x:c r="I182" s="38" t="n">
        <x:v>1</x:v>
      </x:c>
      <x:c r="J182" s="36" t="n">
        <x:v>46265</x:v>
      </x:c>
      <x:c r="K182" s="32" t="str">
        <x:v>P1 High</x:v>
      </x:c>
      <x:c r="L182" s="32" t="str">
        <x:v>Not Started</x:v>
      </x:c>
      <x:c r="M182" s="32" t="str">
        <x:v>☐</x:v>
      </x:c>
      <x:c r="N182" s="32" t="str">
        <x:v>Build freeze</x:v>
      </x:c>
      <x:c r="O182" s="32" t="str">
        <x:v>No</x:v>
      </x:c>
      <x:c r="P182" s="32" t="str"/>
      <x:c r="Q182" s="32" t="str"/>
      <x:c r="R182" s="32" t="str">
        <x:v>Dashboard</x:v>
      </x:c>
      <x:c r="S182" s="32" t="str">
        <x:v>Kenny</x:v>
      </x:c>
      <x:c r="T182" s="40" t="n">
        <x:f>IF($M182="☑",1,IF($L182="In Progress",0.5,0))</x:f>
        <x:v>0</x:v>
      </x:c>
      <x:c r="U182" s="32" t="n">
        <x:f>IF($J182="","",$J182-TODAY())</x:f>
        <x:v>74</x:v>
      </x:c>
    </x:row>
    <x:row r="183">
      <x:c r="A183" s="32" t="str">
        <x:v>T179</x:v>
      </x:c>
      <x:c r="B183" s="36" t="n">
        <x:v>46265</x:v>
      </x:c>
      <x:c r="C183" s="32" t="str">
        <x:v>W36</x:v>
      </x:c>
      <x:c r="D183" s="32" t="str">
        <x:v>19. Race Readiness</x:v>
      </x:c>
      <x:c r="E183" s="32" t="str">
        <x:v>September handoff board</x:v>
      </x:c>
      <x:c r="F183" s="32" t="str">
        <x:v>Evening / focused block</x:v>
      </x:c>
      <x:c r="G183" s="32" t="str">
        <x:v>Archive August design/build progress and prepare a clean summary for teammates/sponsors/public later.</x:v>
      </x:c>
      <x:c r="H183" s="32" t="str">
        <x:v>August summary</x:v>
      </x:c>
      <x:c r="I183" s="38" t="n">
        <x:v>0.8</x:v>
      </x:c>
      <x:c r="J183" s="36" t="n">
        <x:v>46265</x:v>
      </x:c>
      <x:c r="K183" s="32" t="str">
        <x:v>P2 Medium</x:v>
      </x:c>
      <x:c r="L183" s="32" t="str">
        <x:v>Not Started</x:v>
      </x:c>
      <x:c r="M183" s="32" t="str">
        <x:v>☐</x:v>
      </x:c>
      <x:c r="N183" s="32" t="str">
        <x:v>As-built pack</x:v>
      </x:c>
      <x:c r="O183" s="32" t="str">
        <x:v>No</x:v>
      </x:c>
      <x:c r="P183" s="32" t="str"/>
      <x:c r="Q183" s="32" t="str"/>
      <x:c r="R183" s="32" t="str">
        <x:v>Build in Public Later</x:v>
      </x:c>
      <x:c r="S183" s="32" t="str">
        <x:v>Kenny</x:v>
      </x:c>
      <x:c r="T183" s="40" t="n">
        <x:f>IF($M183="☑",1,IF($L183="In Progress",0.5,0))</x:f>
        <x:v>0</x:v>
      </x:c>
      <x:c r="U183" s="32" t="n">
        <x:f>IF($J183="","",$J183-TODAY())</x:f>
        <x:v>74</x:v>
      </x:c>
    </x:row>
  </x:sheetData>
  <x:mergeCells>
    <x:mergeCell ref="A1:U1"/>
    <x:mergeCell ref="A2:U2"/>
  </x:mergeCells>
  <x:conditionalFormatting sqref="A5:U183">
    <x:cfRule type="expression" dxfId="0" priority="1">
      <x:formula>$M5="☑"</x:formula>
    </x:cfRule>
    <x:cfRule type="expression" dxfId="1" priority="2">
      <x:formula>$O5="Yes"</x:formula>
    </x:cfRule>
  </x:conditionalFormatting>
  <x:conditionalFormatting sqref="K5:K183">
    <x:cfRule type="expression" dxfId="2" priority="3">
      <x:formula>$K5="P0 Critical"</x:formula>
    </x:cfRule>
  </x:conditionalFormatting>
  <x:conditionalFormatting sqref="L5:L183">
    <x:cfRule type="expression" dxfId="3" priority="4">
      <x:formula>$L5="Blocked"</x:formula>
    </x:cfRule>
  </x:conditionalFormatting>
  <x:conditionalFormatting sqref="M5:M183">
    <x:cfRule type="expression" dxfId="4" priority="5">
      <x:formula>$M5="☑"</x:formula>
    </x:cfRule>
  </x:conditionalFormatting>
  <x:dataValidations count="4">
    <x:dataValidation type="list" sqref="K5:K183">
      <x:formula1>"P0 Critical,P1 High,P2 Medium,P3 Low"</x:formula1>
    </x:dataValidation>
    <x:dataValidation type="list" sqref="L5:L183">
      <x:formula1>"Not Started,In Progress,Waiting,Blocked,Done,Deferred"</x:formula1>
    </x:dataValidation>
    <x:dataValidation type="list" sqref="M5:M183">
      <x:formula1>"☐,☑"</x:formula1>
    </x:dataValidation>
    <x:dataValidation type="list" sqref="O5:O183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9ea411a4e4c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30" hidden="0" customWidth="1"/>
    <x:col min="5" max="5" width="42" hidden="0" customWidth="1"/>
    <x:col min="6" max="6" width="34" hidden="0" customWidth="1"/>
    <x:col min="7" max="7" width="18" hidden="0" customWidth="1"/>
    <x:col min="8" max="8" width="14" hidden="0" customWidth="1"/>
    <x:col min="9" max="9" width="32" hidden="0" customWidth="1"/>
  </x:cols>
  <x:sheetData>
    <x:row r="1" ht="30" customHeight="1">
      <x:c r="A1" s="86" t="str">
        <x:v>Day Focus View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One row per day. Use this for morning planning and evening review.</x:v>
      </x:c>
    </x:row>
    <x:row r="4" ht="32" customHeight="1">
      <x:c r="A4" s="23" t="str">
        <x:v>Date</x:v>
      </x:c>
      <x:c r="B4" s="23" t="str">
        <x:v>Day</x:v>
      </x:c>
      <x:c r="C4" s="23" t="str">
        <x:v>Phase</x:v>
      </x:c>
      <x:c r="D4" s="23" t="str">
        <x:v>Main Focus</x:v>
      </x:c>
      <x:c r="E4" s="23" t="str">
        <x:v>Priority Outcome</x:v>
      </x:c>
      <x:c r="F4" s="23" t="str">
        <x:v>Key Decision / Attention</x:v>
      </x:c>
      <x:c r="G4" s="23" t="str">
        <x:v>Suggested Workload</x:v>
      </x:c>
      <x:c r="H4" s="23" t="str">
        <x:v>Status</x:v>
      </x:c>
      <x:c r="I4" s="23" t="str">
        <x:v>Daily Notes</x:v>
      </x:c>
    </x:row>
    <x:row r="5">
      <x:c r="A5" s="36" t="n">
        <x:v>46191</x:v>
      </x:c>
      <x:c r="B5" s="32" t="str">
        <x:v>Thu</x:v>
      </x:c>
      <x:c r="C5" s="32" t="str">
        <x:v>0. Control Room</x:v>
      </x:c>
      <x:c r="D5" s="32" t="str">
        <x:v>Project control room + rules baseline</x:v>
      </x:c>
      <x:c r="E5" s="32" t="str">
        <x:v>You know the active constraints, portal status, and design-freeze target.</x:v>
      </x:c>
      <x:c r="F5" s="32" t="str">
        <x:v>What is the binding application deadline and event date?</x:v>
      </x:c>
      <x:c r="G5" s="32" t="str">
        <x:v>2–3h focused</x:v>
      </x:c>
      <x:c r="H5" s="32" t="str">
        <x:v>Planned</x:v>
      </x:c>
      <x:c r="I5" s="32" t="str"/>
    </x:row>
    <x:row r="6">
      <x:c r="A6" s="36" t="n">
        <x:v>46192</x:v>
      </x:c>
      <x:c r="B6" s="32" t="str">
        <x:v>Fri</x:v>
      </x:c>
      <x:c r="C6" s="32" t="str">
        <x:v>0. Control Room</x:v>
      </x:c>
      <x:c r="D6" s="32" t="str">
        <x:v>Design brief + acceptance criteria</x:v>
      </x:c>
      <x:c r="E6" s="32" t="str">
        <x:v>A one-page brief defines what must be true before cutting material.</x:v>
      </x:c>
      <x:c r="F6" s="32" t="str">
        <x:v>Which criteria are go/no-go vs nice-to-have?</x:v>
      </x:c>
      <x:c r="G6" s="32" t="str">
        <x:v>2–3h focused</x:v>
      </x:c>
      <x:c r="H6" s="32" t="str">
        <x:v>Planned</x:v>
      </x:c>
      <x:c r="I6" s="32" t="str"/>
    </x:row>
    <x:row r="7">
      <x:c r="A7" s="36" t="n">
        <x:v>46193</x:v>
      </x:c>
      <x:c r="B7" s="32" t="str">
        <x:v>Sat</x:v>
      </x:c>
      <x:c r="C7" s="32" t="str">
        <x:v>1. Concept Geometry</x:v>
      </x:c>
      <x:c r="D7" s="32" t="str">
        <x:v>Reference geometry + driver packaging</x:v>
      </x:c>
      <x:c r="E7" s="32" t="str">
        <x:v>The driver, body, wheels, and ground clearance fit inside a realistic package.</x:v>
      </x:c>
      <x:c r="F7" s="32" t="str">
        <x:v>What are the initial wheelbase/track/clearance targets?</x:v>
      </x:c>
      <x:c r="G7" s="32" t="str">
        <x:v>3–5h build block</x:v>
      </x:c>
      <x:c r="H7" s="32" t="str">
        <x:v>Planned</x:v>
      </x:c>
      <x:c r="I7" s="32" t="str"/>
    </x:row>
    <x:row r="8">
      <x:c r="A8" s="36" t="n">
        <x:v>46194</x:v>
      </x:c>
      <x:c r="B8" s="32" t="str">
        <x:v>Sun</x:v>
      </x:c>
      <x:c r="C8" s="32" t="str">
        <x:v>1. Concept Geometry</x:v>
      </x:c>
      <x:c r="D8" s="32" t="str">
        <x:v>Architecture options</x:v>
      </x:c>
      <x:c r="E8" s="32" t="str">
        <x:v>Baseline and fallback architectures are chosen before CAD detail.</x:v>
      </x:c>
      <x:c r="F8" s="32" t="str">
        <x:v>Which chassis route is safest and buildable with available tools?</x:v>
      </x:c>
      <x:c r="G8" s="32" t="str">
        <x:v>Review / buffer</x:v>
      </x:c>
      <x:c r="H8" s="32" t="str">
        <x:v>Planned</x:v>
      </x:c>
      <x:c r="I8" s="32" t="str"/>
    </x:row>
    <x:row r="9">
      <x:c r="A9" s="36" t="n">
        <x:v>46195</x:v>
      </x:c>
      <x:c r="B9" s="32" t="str">
        <x:v>Mon</x:v>
      </x:c>
      <x:c r="C9" s="32" t="str">
        <x:v>2. CAD Setup</x:v>
      </x:c>
      <x:c r="D9" s="32" t="str">
        <x:v>Toolchain setup</x:v>
      </x:c>
      <x:c r="E9" s="32" t="str">
        <x:v>CAD/CFD tools are ready and the workflow is clear.</x:v>
      </x:c>
      <x:c r="F9" s="32" t="str"/>
      <x:c r="G9" s="32" t="str">
        <x:v>2–3h focused</x:v>
      </x:c>
      <x:c r="H9" s="32" t="str">
        <x:v>Planned</x:v>
      </x:c>
      <x:c r="I9" s="32" t="str"/>
    </x:row>
    <x:row r="10">
      <x:c r="A10" s="36" t="n">
        <x:v>46196</x:v>
      </x:c>
      <x:c r="B10" s="32" t="str">
        <x:v>Tue</x:v>
      </x:c>
      <x:c r="C10" s="32" t="str">
        <x:v>2. CAD Setup</x:v>
      </x:c>
      <x:c r="D10" s="32" t="str">
        <x:v>CAD skeleton v0</x:v>
      </x:c>
      <x:c r="E10" s="32" t="str">
        <x:v>A parametric skeleton exists for fast iteration.</x:v>
      </x:c>
      <x:c r="F10" s="32" t="str"/>
      <x:c r="G10" s="32" t="str">
        <x:v>2–3h focused</x:v>
      </x:c>
      <x:c r="H10" s="32" t="str">
        <x:v>Planned</x:v>
      </x:c>
      <x:c r="I10" s="32" t="str"/>
    </x:row>
    <x:row r="11">
      <x:c r="A11" s="36" t="n">
        <x:v>46197</x:v>
      </x:c>
      <x:c r="B11" s="32" t="str">
        <x:v>Wed</x:v>
      </x:c>
      <x:c r="C11" s="32" t="str">
        <x:v>2. CAD Setup</x:v>
      </x:c>
      <x:c r="D11" s="32" t="str">
        <x:v>Chassis v0 model</x:v>
      </x:c>
      <x:c r="E11" s="32" t="str">
        <x:v>The first chassis model has mounting points and inspection-critical geometry.</x:v>
      </x:c>
      <x:c r="F11" s="32" t="str"/>
      <x:c r="G11" s="32" t="str">
        <x:v>2–3h focused</x:v>
      </x:c>
      <x:c r="H11" s="32" t="str">
        <x:v>Planned</x:v>
      </x:c>
      <x:c r="I11" s="32" t="str"/>
    </x:row>
    <x:row r="12">
      <x:c r="A12" s="36" t="n">
        <x:v>46198</x:v>
      </x:c>
      <x:c r="B12" s="32" t="str">
        <x:v>Thu</x:v>
      </x:c>
      <x:c r="C12" s="32" t="str">
        <x:v>2. CAD Setup</x:v>
      </x:c>
      <x:c r="D12" s="32" t="str">
        <x:v>Buildability review 1</x:v>
      </x:c>
      <x:c r="E12" s="32" t="str">
        <x:v>Complex shapes are simplified before simulations start.</x:v>
      </x:c>
      <x:c r="F12" s="32" t="str">
        <x:v>Which features should be simplified before FEA?</x:v>
      </x:c>
      <x:c r="G12" s="32" t="str">
        <x:v>2–3h focused</x:v>
      </x:c>
      <x:c r="H12" s="32" t="str">
        <x:v>Planned</x:v>
      </x:c>
      <x:c r="I12" s="32" t="str"/>
    </x:row>
    <x:row r="13">
      <x:c r="A13" s="36" t="n">
        <x:v>46199</x:v>
      </x:c>
      <x:c r="B13" s="32" t="str">
        <x:v>Fri</x:v>
      </x:c>
      <x:c r="C13" s="32" t="str">
        <x:v>2. CAD Setup</x:v>
      </x:c>
      <x:c r="D13" s="32" t="str">
        <x:v>Steering + brake packaging</x:v>
      </x:c>
      <x:c r="E13" s="32" t="str">
        <x:v>Steering and braking are designed early, not fitted as an afterthought.</x:v>
      </x:c>
      <x:c r="F13" s="32" t="str">
        <x:v>What braking setup gives inspection confidence without overcomplexity?</x:v>
      </x:c>
      <x:c r="G13" s="32" t="str">
        <x:v>2–3h focused</x:v>
      </x:c>
      <x:c r="H13" s="32" t="str">
        <x:v>Planned</x:v>
      </x:c>
      <x:c r="I13" s="32" t="str"/>
    </x:row>
    <x:row r="14">
      <x:c r="A14" s="36" t="n">
        <x:v>46200</x:v>
      </x:c>
      <x:c r="B14" s="32" t="str">
        <x:v>Sat</x:v>
      </x:c>
      <x:c r="C14" s="32" t="str">
        <x:v>3. Mass &amp; Risk</x:v>
      </x:c>
      <x:c r="D14" s="32" t="str">
        <x:v>Mass + centre-of-gravity estimate</x:v>
      </x:c>
      <x:c r="E14" s="32" t="str">
        <x:v>The tall visual concept is checked against mass and stability risks.</x:v>
      </x:c>
      <x:c r="F14" s="32" t="str">
        <x:v>What is the pre-ballast mass target?</x:v>
      </x:c>
      <x:c r="G14" s="32" t="str">
        <x:v>3–5h build block</x:v>
      </x:c>
      <x:c r="H14" s="32" t="str">
        <x:v>Planned</x:v>
      </x:c>
      <x:c r="I14" s="32" t="str"/>
    </x:row>
    <x:row r="15">
      <x:c r="A15" s="36" t="n">
        <x:v>46201</x:v>
      </x:c>
      <x:c r="B15" s="32" t="str">
        <x:v>Sun</x:v>
      </x:c>
      <x:c r="C15" s="32" t="str">
        <x:v>4. Application Package</x:v>
      </x:c>
      <x:c r="D15" s="32" t="str">
        <x:v>Application concept package draft</x:v>
      </x:c>
      <x:c r="E15" s="32" t="str">
        <x:v>The concept is application-ready and understandable in seconds.</x:v>
      </x:c>
      <x:c r="F15" s="32" t="str">
        <x:v>Does the concept read instantly as gas heater + cylinder?</x:v>
      </x:c>
      <x:c r="G15" s="32" t="str">
        <x:v>Review / buffer</x:v>
      </x:c>
      <x:c r="H15" s="32" t="str">
        <x:v>Planned</x:v>
      </x:c>
      <x:c r="I15" s="32" t="str"/>
    </x:row>
    <x:row r="16">
      <x:c r="A16" s="36" t="n">
        <x:v>46202</x:v>
      </x:c>
      <x:c r="B16" s="32" t="str">
        <x:v>Mon</x:v>
      </x:c>
      <x:c r="C16" s="32" t="str">
        <x:v>4. Application Package</x:v>
      </x:c>
      <x:c r="D16" s="32" t="str">
        <x:v>Application + team outreach</x:v>
      </x:c>
      <x:c r="E16" s="32" t="str">
        <x:v>Application and teammate recruitment move in parallel.</x:v>
      </x:c>
      <x:c r="F16" s="32" t="str">
        <x:v>Has the application been submitted before the live deadline?</x:v>
      </x:c>
      <x:c r="G16" s="32" t="str">
        <x:v>2–3h focused</x:v>
      </x:c>
      <x:c r="H16" s="32" t="str">
        <x:v>Planned</x:v>
      </x:c>
      <x:c r="I16" s="32" t="str"/>
    </x:row>
    <x:row r="17">
      <x:c r="A17" s="36" t="n">
        <x:v>46203</x:v>
      </x:c>
      <x:c r="B17" s="32" t="str">
        <x:v>Tue</x:v>
      </x:c>
      <x:c r="C17" s="32" t="str">
        <x:v>5. Simulation Prep</x:v>
      </x:c>
      <x:c r="D17" s="32" t="str">
        <x:v>Simulation setup and model simplification</x:v>
      </x:c>
      <x:c r="E17" s="32" t="str">
        <x:v>FEA and CFD variants are clean enough to run quickly.</x:v>
      </x:c>
      <x:c r="F17" s="32" t="str">
        <x:v>What load cases are mandatory before build?</x:v>
      </x:c>
      <x:c r="G17" s="32" t="str">
        <x:v>2–3h focused</x:v>
      </x:c>
      <x:c r="H17" s="32" t="str">
        <x:v>Planned</x:v>
      </x:c>
      <x:c r="I17" s="32" t="str"/>
    </x:row>
    <x:row r="18">
      <x:c r="A18" s="36" t="n">
        <x:v>46204</x:v>
      </x:c>
      <x:c r="B18" s="32" t="str">
        <x:v>Wed</x:v>
      </x:c>
      <x:c r="C18" s="32" t="str">
        <x:v>6. FEA Iteration</x:v>
      </x:c>
      <x:c r="D18" s="32" t="str">
        <x:v>FEA run 1</x:v>
      </x:c>
      <x:c r="E18" s="32" t="str">
        <x:v>You have the first structural evidence, even if it fails.</x:v>
      </x:c>
      <x:c r="F18" s="32" t="str"/>
      <x:c r="G18" s="32" t="str">
        <x:v>2–3h focused</x:v>
      </x:c>
      <x:c r="H18" s="32" t="str">
        <x:v>Planned</x:v>
      </x:c>
      <x:c r="I18" s="32" t="str"/>
    </x:row>
    <x:row r="19">
      <x:c r="A19" s="36" t="n">
        <x:v>46205</x:v>
      </x:c>
      <x:c r="B19" s="32" t="str">
        <x:v>Thu</x:v>
      </x:c>
      <x:c r="C19" s="32" t="str">
        <x:v>6. FEA Iteration</x:v>
      </x:c>
      <x:c r="D19" s="32" t="str">
        <x:v>FEA improvement pass</x:v>
      </x:c>
      <x:c r="E19" s="32" t="str">
        <x:v>Structural weaknesses become bracing changes, not scary surprises.</x:v>
      </x:c>
      <x:c r="F19" s="32" t="str">
        <x:v>Does the chassis pass the safety-factor target, or does it need redesign?</x:v>
      </x:c>
      <x:c r="G19" s="32" t="str">
        <x:v>2–3h focused</x:v>
      </x:c>
      <x:c r="H19" s="32" t="str">
        <x:v>Planned</x:v>
      </x:c>
      <x:c r="I19" s="32" t="str"/>
    </x:row>
    <x:row r="20">
      <x:c r="A20" s="36" t="n">
        <x:v>46206</x:v>
      </x:c>
      <x:c r="B20" s="32" t="str">
        <x:v>Fri</x:v>
      </x:c>
      <x:c r="C20" s="32" t="str">
        <x:v>7. CFD Iteration</x:v>
      </x:c>
      <x:c r="D20" s="32" t="str">
        <x:v>CFD baseline</x:v>
      </x:c>
      <x:c r="E20" s="32" t="str">
        <x:v>You have a baseline drag/wake reference for the ugly upright-box case.</x:v>
      </x:c>
      <x:c r="F20" s="32" t="str"/>
      <x:c r="G20" s="32" t="str">
        <x:v>2–3h focused</x:v>
      </x:c>
      <x:c r="H20" s="32" t="str">
        <x:v>Planned</x:v>
      </x:c>
      <x:c r="I20" s="32" t="str"/>
    </x:row>
    <x:row r="21">
      <x:c r="A21" s="36" t="n">
        <x:v>46207</x:v>
      </x:c>
      <x:c r="B21" s="32" t="str">
        <x:v>Sat</x:v>
      </x:c>
      <x:c r="C21" s="32" t="str">
        <x:v>7. CFD Iteration</x:v>
      </x:c>
      <x:c r="D21" s="32" t="str">
        <x:v>CFD variant testing</x:v>
      </x:c>
      <x:c r="E21" s="32" t="str">
        <x:v>Aero choices are selected by comparison, not vibes with wheels.</x:v>
      </x:c>
      <x:c r="F21" s="32" t="str">
        <x:v>Which body shape gives the best buildable aero improvement?</x:v>
      </x:c>
      <x:c r="G21" s="32" t="str">
        <x:v>3–5h build block</x:v>
      </x:c>
      <x:c r="H21" s="32" t="str">
        <x:v>Planned</x:v>
      </x:c>
      <x:c r="I21" s="32" t="str"/>
    </x:row>
    <x:row r="22">
      <x:c r="A22" s="36" t="n">
        <x:v>46208</x:v>
      </x:c>
      <x:c r="B22" s="32" t="str">
        <x:v>Sun</x:v>
      </x:c>
      <x:c r="C22" s="32" t="str">
        <x:v>8. Effects &amp; Reliability</x:v>
      </x:c>
      <x:c r="D22" s="32" t="str">
        <x:v>Mechanical effect validation</x:v>
      </x:c>
      <x:c r="E22" s="32" t="str">
        <x:v>The glow effect has a reliable legal primary route and a fallback.</x:v>
      </x:c>
      <x:c r="F22" s="32" t="str">
        <x:v>Airflow panels, fabric flames, or manual reveal?</x:v>
      </x:c>
      <x:c r="G22" s="32" t="str">
        <x:v>Review / buffer</x:v>
      </x:c>
      <x:c r="H22" s="32" t="str">
        <x:v>Planned</x:v>
      </x:c>
      <x:c r="I22" s="32" t="str"/>
    </x:row>
    <x:row r="23">
      <x:c r="A23" s="36" t="n">
        <x:v>46209</x:v>
      </x:c>
      <x:c r="B23" s="32" t="str">
        <x:v>Mon</x:v>
      </x:c>
      <x:c r="C23" s="32" t="str">
        <x:v>9. Integrated Review</x:v>
      </x:c>
      <x:c r="D23" s="32" t="str">
        <x:v>Integrated design review</x:v>
      </x:c>
      <x:c r="E23" s="32" t="str">
        <x:v>The model, simulations, and decisions converge into one buildable version.</x:v>
      </x:c>
      <x:c r="F23" s="32" t="str">
        <x:v>Is the design ready to turn into build drawings?</x:v>
      </x:c>
      <x:c r="G23" s="32" t="str">
        <x:v>2–3h focused</x:v>
      </x:c>
      <x:c r="H23" s="32" t="str">
        <x:v>Planned</x:v>
      </x:c>
      <x:c r="I23" s="32" t="str"/>
    </x:row>
    <x:row r="24">
      <x:c r="A24" s="36" t="n">
        <x:v>46210</x:v>
      </x:c>
      <x:c r="B24" s="32" t="str">
        <x:v>Tue</x:v>
      </x:c>
      <x:c r="C24" s="32" t="str">
        <x:v>10. Build Drawings</x:v>
      </x:c>
      <x:c r="D24" s="32" t="str">
        <x:v>Build drawings v1</x:v>
      </x:c>
      <x:c r="E24" s="32" t="str">
        <x:v>The design becomes a shopping/cutting/assembly package.</x:v>
      </x:c>
      <x:c r="F24" s="32" t="str"/>
      <x:c r="G24" s="32" t="str">
        <x:v>2–3h focused</x:v>
      </x:c>
      <x:c r="H24" s="32" t="str">
        <x:v>Planned</x:v>
      </x:c>
      <x:c r="I24" s="32" t="str"/>
    </x:row>
    <x:row r="25">
      <x:c r="A25" s="36" t="n">
        <x:v>46211</x:v>
      </x:c>
      <x:c r="B25" s="32" t="str">
        <x:v>Wed</x:v>
      </x:c>
      <x:c r="C25" s="32" t="str">
        <x:v>11. Procurement</x:v>
      </x:c>
      <x:c r="D25" s="32" t="str">
        <x:v>Procurement plan</x:v>
      </x:c>
      <x:c r="E25" s="32" t="str">
        <x:v>You know what to buy, salvage, borrow, or fabricate before build starts.</x:v>
      </x:c>
      <x:c r="F25" s="32" t="str">
        <x:v>What can be bought now without risking wasted money?</x:v>
      </x:c>
      <x:c r="G25" s="32" t="str">
        <x:v>2–3h focused</x:v>
      </x:c>
      <x:c r="H25" s="32" t="str">
        <x:v>Planned</x:v>
      </x:c>
      <x:c r="I25" s="32" t="str"/>
    </x:row>
    <x:row r="26">
      <x:c r="A26" s="36" t="n">
        <x:v>46212</x:v>
      </x:c>
      <x:c r="B26" s="32" t="str">
        <x:v>Thu</x:v>
      </x:c>
      <x:c r="C26" s="32" t="str">
        <x:v>12. Validation Pack</x:v>
      </x:c>
      <x:c r="D26" s="32" t="str">
        <x:v>Validation pack</x:v>
      </x:c>
      <x:c r="E26" s="32" t="str">
        <x:v>A reviewer can understand the design without you narrating it.</x:v>
      </x:c>
      <x:c r="F26" s="32" t="str"/>
      <x:c r="G26" s="32" t="str">
        <x:v>2–3h focused</x:v>
      </x:c>
      <x:c r="H26" s="32" t="str">
        <x:v>Planned</x:v>
      </x:c>
      <x:c r="I26" s="32" t="str"/>
    </x:row>
    <x:row r="27">
      <x:c r="A27" s="36" t="n">
        <x:v>46213</x:v>
      </x:c>
      <x:c r="B27" s="32" t="str">
        <x:v>Fri</x:v>
      </x:c>
      <x:c r="C27" s="32" t="str">
        <x:v>13. Design Freeze</x:v>
      </x:c>
      <x:c r="D27" s="32" t="str">
        <x:v>Design Freeze v1 + build handoff</x:v>
      </x:c>
      <x:c r="E27" s="32" t="str">
        <x:v>You have a validated, traceable, buildable design package.</x:v>
      </x:c>
      <x:c r="F27" s="32" t="str">
        <x:v>Build now, revise, or pause?</x:v>
      </x:c>
      <x:c r="G27" s="32" t="str">
        <x:v>2–3h focused</x:v>
      </x:c>
      <x:c r="H27" s="32" t="str">
        <x:v>Planned</x:v>
      </x:c>
      <x:c r="I27" s="32" t="str"/>
    </x:row>
    <x:row r="28">
      <x:c r="A28" s="36" t="n">
        <x:v>46214</x:v>
      </x:c>
      <x:c r="B28" s="32" t="str">
        <x:v>Sat</x:v>
      </x:c>
      <x:c r="C28" s="32" t="str">
        <x:v>14. Build Prep</x:v>
      </x:c>
      <x:c r="D28" s="32" t="str">
        <x:v>Workspace + material pickup</x:v>
      </x:c>
      <x:c r="E28" s="32" t="str">
        <x:v>Workshop is safe, organized, and ready for cutting.</x:v>
      </x:c>
      <x:c r="F28" s="32" t="str"/>
      <x:c r="G28" s="32" t="str">
        <x:v>3–5h build block</x:v>
      </x:c>
      <x:c r="H28" s="32" t="str">
        <x:v>Planned</x:v>
      </x:c>
      <x:c r="I28" s="32" t="str"/>
    </x:row>
    <x:row r="29">
      <x:c r="A29" s="36" t="n">
        <x:v>46215</x:v>
      </x:c>
      <x:c r="B29" s="32" t="str">
        <x:v>Sun</x:v>
      </x:c>
      <x:c r="C29" s="32" t="str">
        <x:v>14. Build Prep</x:v>
      </x:c>
      <x:c r="D29" s="32" t="str">
        <x:v>Donor parts inspection</x:v>
      </x:c>
      <x:c r="E29" s="32" t="str">
        <x:v>Donor steering/brake parts are usable or replacements are identified.</x:v>
      </x:c>
      <x:c r="F29" s="32" t="str">
        <x:v>Buy donor now or keep searching?</x:v>
      </x:c>
      <x:c r="G29" s="32" t="str">
        <x:v>Review / buffer</x:v>
      </x:c>
      <x:c r="H29" s="32" t="str">
        <x:v>Planned</x:v>
      </x:c>
      <x:c r="I29" s="32" t="str"/>
    </x:row>
    <x:row r="30">
      <x:c r="A30" s="36" t="n">
        <x:v>46216</x:v>
      </x:c>
      <x:c r="B30" s="32" t="str">
        <x:v>Mon</x:v>
      </x:c>
      <x:c r="C30" s="32" t="str">
        <x:v>14. Build Prep</x:v>
      </x:c>
      <x:c r="D30" s="32" t="str">
        <x:v>Cutting templates</x:v>
      </x:c>
      <x:c r="E30" s="32" t="str">
        <x:v>You can cut without guessing.</x:v>
      </x:c>
      <x:c r="F30" s="32" t="str"/>
      <x:c r="G30" s="32" t="str">
        <x:v>2–3h focused</x:v>
      </x:c>
      <x:c r="H30" s="32" t="str">
        <x:v>Planned</x:v>
      </x:c>
      <x:c r="I30" s="32" t="str"/>
    </x:row>
    <x:row r="31">
      <x:c r="A31" s="36" t="n">
        <x:v>46217</x:v>
      </x:c>
      <x:c r="B31" s="32" t="str">
        <x:v>Tue</x:v>
      </x:c>
      <x:c r="C31" s="32" t="str">
        <x:v>14. Build Prep</x:v>
      </x:c>
      <x:c r="D31" s="32" t="str">
        <x:v>Sponsor/team parallel track</x:v>
      </x:c>
      <x:c r="E31" s="32" t="str">
        <x:v>Build support moves without blocking engineering.</x:v>
      </x:c>
      <x:c r="F31" s="32" t="str">
        <x:v>Who owns build, CAD updates, procurement, and performance?</x:v>
      </x:c>
      <x:c r="G31" s="32" t="str">
        <x:v>2–3h focused</x:v>
      </x:c>
      <x:c r="H31" s="32" t="str">
        <x:v>Planned</x:v>
      </x:c>
      <x:c r="I31" s="32" t="str"/>
    </x:row>
    <x:row r="32">
      <x:c r="A32" s="36" t="n">
        <x:v>46218</x:v>
      </x:c>
      <x:c r="B32" s="32" t="str">
        <x:v>Wed</x:v>
      </x:c>
      <x:c r="C32" s="32" t="str">
        <x:v>15. Rolling Chassis</x:v>
      </x:c>
      <x:c r="D32" s="32" t="str">
        <x:v>Frame cutting prep</x:v>
      </x:c>
      <x:c r="E32" s="32" t="str">
        <x:v>Frame/floor cuts are queued in the right order.</x:v>
      </x:c>
      <x:c r="F32" s="32" t="str"/>
      <x:c r="G32" s="32" t="str">
        <x:v>2–3h focused</x:v>
      </x:c>
      <x:c r="H32" s="32" t="str">
        <x:v>Planned</x:v>
      </x:c>
      <x:c r="I32" s="32" t="str"/>
    </x:row>
    <x:row r="33">
      <x:c r="A33" s="36" t="n">
        <x:v>46219</x:v>
      </x:c>
      <x:c r="B33" s="32" t="str">
        <x:v>Thu</x:v>
      </x:c>
      <x:c r="C33" s="32" t="str">
        <x:v>15. Rolling Chassis</x:v>
      </x:c>
      <x:c r="D33" s="32" t="str">
        <x:v>Frame assembly 1</x:v>
      </x:c>
      <x:c r="E33" s="32" t="str">
        <x:v>The base frame begins as a square, stiff platform.</x:v>
      </x:c>
      <x:c r="F33" s="32" t="str"/>
      <x:c r="G33" s="32" t="str">
        <x:v>2–3h focused</x:v>
      </x:c>
      <x:c r="H33" s="32" t="str">
        <x:v>Planned</x:v>
      </x:c>
      <x:c r="I33" s="32" t="str"/>
    </x:row>
    <x:row r="34">
      <x:c r="A34" s="36" t="n">
        <x:v>46220</x:v>
      </x:c>
      <x:c r="B34" s="32" t="str">
        <x:v>Fri</x:v>
      </x:c>
      <x:c r="C34" s="32" t="str">
        <x:v>15. Rolling Chassis</x:v>
      </x:c>
      <x:c r="D34" s="32" t="str">
        <x:v>Axle mount planning</x:v>
      </x:c>
      <x:c r="E34" s="32" t="str">
        <x:v>Axle mounts are positioned before irreversible fastening.</x:v>
      </x:c>
      <x:c r="F34" s="32" t="str">
        <x:v>Are axle positions final?</x:v>
      </x:c>
      <x:c r="G34" s="32" t="str">
        <x:v>2–3h focused</x:v>
      </x:c>
      <x:c r="H34" s="32" t="str">
        <x:v>Planned</x:v>
      </x:c>
      <x:c r="I34" s="32" t="str"/>
    </x:row>
    <x:row r="35">
      <x:c r="A35" s="36" t="n">
        <x:v>46221</x:v>
      </x:c>
      <x:c r="B35" s="32" t="str">
        <x:v>Sat</x:v>
      </x:c>
      <x:c r="C35" s="32" t="str">
        <x:v>15. Rolling Chassis</x:v>
      </x:c>
      <x:c r="D35" s="32" t="str">
        <x:v>Front axle + steering mount</x:v>
      </x:c>
      <x:c r="E35" s="32" t="str">
        <x:v>Steering geometry becomes physical.</x:v>
      </x:c>
      <x:c r="F35" s="32" t="str"/>
      <x:c r="G35" s="32" t="str">
        <x:v>3–5h build block</x:v>
      </x:c>
      <x:c r="H35" s="32" t="str">
        <x:v>Planned</x:v>
      </x:c>
      <x:c r="I35" s="32" t="str"/>
    </x:row>
    <x:row r="36">
      <x:c r="A36" s="36" t="n">
        <x:v>46222</x:v>
      </x:c>
      <x:c r="B36" s="32" t="str">
        <x:v>Sun</x:v>
      </x:c>
      <x:c r="C36" s="32" t="str">
        <x:v>15. Rolling Chassis</x:v>
      </x:c>
      <x:c r="D36" s="32" t="str">
        <x:v>Rear axle + brake mount</x:v>
      </x:c>
      <x:c r="E36" s="32" t="str">
        <x:v>The rear end can carry load and accept braking.</x:v>
      </x:c>
      <x:c r="F36" s="32" t="str"/>
      <x:c r="G36" s="32" t="str">
        <x:v>Review / buffer</x:v>
      </x:c>
      <x:c r="H36" s="32" t="str">
        <x:v>Planned</x:v>
      </x:c>
      <x:c r="I36" s="32" t="str"/>
    </x:row>
    <x:row r="37">
      <x:c r="A37" s="36" t="n">
        <x:v>46223</x:v>
      </x:c>
      <x:c r="B37" s="32" t="str">
        <x:v>Mon</x:v>
      </x:c>
      <x:c r="C37" s="32" t="str">
        <x:v>15. Rolling Chassis</x:v>
      </x:c>
      <x:c r="D37" s="32" t="str">
        <x:v>Rolling chassis test prep</x:v>
      </x:c>
      <x:c r="E37" s="32" t="str">
        <x:v>The chassis is ready for first low-speed roll checks.</x:v>
      </x:c>
      <x:c r="F37" s="32" t="str"/>
      <x:c r="G37" s="32" t="str">
        <x:v>2–3h focused</x:v>
      </x:c>
      <x:c r="H37" s="32" t="str">
        <x:v>Planned</x:v>
      </x:c>
      <x:c r="I37" s="32" t="str"/>
    </x:row>
    <x:row r="38">
      <x:c r="A38" s="36" t="n">
        <x:v>46224</x:v>
      </x:c>
      <x:c r="B38" s="32" t="str">
        <x:v>Tue</x:v>
      </x:c>
      <x:c r="C38" s="32" t="str">
        <x:v>15. Rolling Chassis</x:v>
      </x:c>
      <x:c r="D38" s="32" t="str">
        <x:v>First roll: flat ground</x:v>
      </x:c>
      <x:c r="E38" s="32" t="str">
        <x:v>The chassis rolls, steers, and stops slowly.</x:v>
      </x:c>
      <x:c r="F38" s="32" t="str"/>
      <x:c r="G38" s="32" t="str">
        <x:v>2–3h focused</x:v>
      </x:c>
      <x:c r="H38" s="32" t="str">
        <x:v>Planned</x:v>
      </x:c>
      <x:c r="I38" s="32" t="str"/>
    </x:row>
    <x:row r="39">
      <x:c r="A39" s="36" t="n">
        <x:v>46225</x:v>
      </x:c>
      <x:c r="B39" s="32" t="str">
        <x:v>Wed</x:v>
      </x:c>
      <x:c r="C39" s="32" t="str">
        <x:v>15. Rolling Chassis</x:v>
      </x:c>
      <x:c r="D39" s="32" t="str">
        <x:v>Fix roll-test issues</x:v>
      </x:c>
      <x:c r="E39" s="32" t="str">
        <x:v>The first defects are corrected before bodywork hides them.</x:v>
      </x:c>
      <x:c r="F39" s="32" t="str"/>
      <x:c r="G39" s="32" t="str">
        <x:v>2–3h focused</x:v>
      </x:c>
      <x:c r="H39" s="32" t="str">
        <x:v>Planned</x:v>
      </x:c>
      <x:c r="I39" s="32" t="str"/>
    </x:row>
    <x:row r="40">
      <x:c r="A40" s="36" t="n">
        <x:v>46226</x:v>
      </x:c>
      <x:c r="B40" s="32" t="str">
        <x:v>Thu</x:v>
      </x:c>
      <x:c r="C40" s="32" t="str">
        <x:v>15. Rolling Chassis</x:v>
      </x:c>
      <x:c r="D40" s="32" t="str">
        <x:v>Static load test</x:v>
      </x:c>
      <x:c r="E40" s="32" t="str">
        <x:v>The chassis survives a simple proof load before speed.</x:v>
      </x:c>
      <x:c r="F40" s="32" t="str"/>
      <x:c r="G40" s="32" t="str">
        <x:v>2–3h focused</x:v>
      </x:c>
      <x:c r="H40" s="32" t="str">
        <x:v>Planned</x:v>
      </x:c>
      <x:c r="I40" s="32" t="str"/>
    </x:row>
    <x:row r="41">
      <x:c r="A41" s="36" t="n">
        <x:v>46227</x:v>
      </x:c>
      <x:c r="B41" s="32" t="str">
        <x:v>Fri</x:v>
      </x:c>
      <x:c r="C41" s="32" t="str">
        <x:v>15. Rolling Chassis</x:v>
      </x:c>
      <x:c r="D41" s="32" t="str">
        <x:v>Roll protection + cockpit padding plan</x:v>
      </x:c>
      <x:c r="E41" s="32" t="str">
        <x:v>Driver protection is designed before body spectacle.</x:v>
      </x:c>
      <x:c r="F41" s="32" t="str">
        <x:v>What minimum roll/side protection is being built?</x:v>
      </x:c>
      <x:c r="G41" s="32" t="str">
        <x:v>2–3h focused</x:v>
      </x:c>
      <x:c r="H41" s="32" t="str">
        <x:v>Planned</x:v>
      </x:c>
      <x:c r="I41" s="32" t="str"/>
    </x:row>
    <x:row r="42">
      <x:c r="A42" s="36" t="n">
        <x:v>46228</x:v>
      </x:c>
      <x:c r="B42" s="32" t="str">
        <x:v>Sat</x:v>
      </x:c>
      <x:c r="C42" s="32" t="str">
        <x:v>15. Rolling Chassis</x:v>
      </x:c>
      <x:c r="D42" s="32" t="str">
        <x:v>Reinforcement weekend</x:v>
      </x:c>
      <x:c r="E42" s="32" t="str">
        <x:v>Critical chassis areas get reinforced.</x:v>
      </x:c>
      <x:c r="F42" s="32" t="str"/>
      <x:c r="G42" s="32" t="str">
        <x:v>3–5h build block</x:v>
      </x:c>
      <x:c r="H42" s="32" t="str">
        <x:v>Planned</x:v>
      </x:c>
      <x:c r="I42" s="32" t="str"/>
    </x:row>
    <x:row r="43">
      <x:c r="A43" s="36" t="n">
        <x:v>46229</x:v>
      </x:c>
      <x:c r="B43" s="32" t="str">
        <x:v>Sun</x:v>
      </x:c>
      <x:c r="C43" s="32" t="str">
        <x:v>15. Rolling Chassis</x:v>
      </x:c>
      <x:c r="D43" s="32" t="str">
        <x:v>Low-slope shakedown</x:v>
      </x:c>
      <x:c r="E43" s="32" t="str">
        <x:v>Progressively test only after flat tests pass.</x:v>
      </x:c>
      <x:c r="F43" s="32" t="str"/>
      <x:c r="G43" s="32" t="str">
        <x:v>Review / buffer</x:v>
      </x:c>
      <x:c r="H43" s="32" t="str">
        <x:v>Planned</x:v>
      </x:c>
      <x:c r="I43" s="32" t="str"/>
    </x:row>
    <x:row r="44">
      <x:c r="A44" s="36" t="n">
        <x:v>46230</x:v>
      </x:c>
      <x:c r="B44" s="32" t="str">
        <x:v>Mon</x:v>
      </x:c>
      <x:c r="C44" s="32" t="str">
        <x:v>16. Body &amp; Effects</x:v>
      </x:c>
      <x:c r="D44" s="32" t="str">
        <x:v>Body frame planning</x:v>
      </x:c>
      <x:c r="E44" s="32" t="str">
        <x:v>Cosmetic body mounts cannot compromise steering/braking.</x:v>
      </x:c>
      <x:c r="F44" s="32" t="str"/>
      <x:c r="G44" s="32" t="str">
        <x:v>2–3h focused</x:v>
      </x:c>
      <x:c r="H44" s="32" t="str">
        <x:v>Planned</x:v>
      </x:c>
      <x:c r="I44" s="32" t="str"/>
    </x:row>
    <x:row r="45">
      <x:c r="A45" s="36" t="n">
        <x:v>46231</x:v>
      </x:c>
      <x:c r="B45" s="32" t="str">
        <x:v>Tue</x:v>
      </x:c>
      <x:c r="C45" s="32" t="str">
        <x:v>16. Body &amp; Effects</x:v>
      </x:c>
      <x:c r="D45" s="32" t="str">
        <x:v>Body skeleton 1</x:v>
      </x:c>
      <x:c r="E45" s="32" t="str">
        <x:v>Heater silhouette appears without high mass.</x:v>
      </x:c>
      <x:c r="F45" s="32" t="str"/>
      <x:c r="G45" s="32" t="str">
        <x:v>2–3h focused</x:v>
      </x:c>
      <x:c r="H45" s="32" t="str">
        <x:v>Planned</x:v>
      </x:c>
      <x:c r="I45" s="32" t="str"/>
    </x:row>
    <x:row r="46">
      <x:c r="A46" s="36" t="n">
        <x:v>46232</x:v>
      </x:c>
      <x:c r="B46" s="32" t="str">
        <x:v>Wed</x:v>
      </x:c>
      <x:c r="C46" s="32" t="str">
        <x:v>16. Body &amp; Effects</x:v>
      </x:c>
      <x:c r="D46" s="32" t="str">
        <x:v>Aero shape as-built</x:v>
      </x:c>
      <x:c r="E46" s="32" t="str">
        <x:v>The raked/boat-tailed idea survives contact with materials.</x:v>
      </x:c>
      <x:c r="F46" s="32" t="str"/>
      <x:c r="G46" s="32" t="str">
        <x:v>2–3h focused</x:v>
      </x:c>
      <x:c r="H46" s="32" t="str">
        <x:v>Planned</x:v>
      </x:c>
      <x:c r="I46" s="32" t="str"/>
    </x:row>
    <x:row r="47">
      <x:c r="A47" s="36" t="n">
        <x:v>46233</x:v>
      </x:c>
      <x:c r="B47" s="32" t="str">
        <x:v>Thu</x:v>
      </x:c>
      <x:c r="C47" s="32" t="str">
        <x:v>16. Body &amp; Effects</x:v>
      </x:c>
      <x:c r="D47" s="32" t="str">
        <x:v>Glow effect prototype 1</x:v>
      </x:c>
      <x:c r="E47" s="32" t="str">
        <x:v>The effect is tested separately before mounting.</x:v>
      </x:c>
      <x:c r="F47" s="32" t="str"/>
      <x:c r="G47" s="32" t="str">
        <x:v>2–3h focused</x:v>
      </x:c>
      <x:c r="H47" s="32" t="str">
        <x:v>Planned</x:v>
      </x:c>
      <x:c r="I47" s="32" t="str"/>
    </x:row>
    <x:row r="48">
      <x:c r="A48" s="36" t="n">
        <x:v>46234</x:v>
      </x:c>
      <x:c r="B48" s="32" t="str">
        <x:v>Fri</x:v>
      </x:c>
      <x:c r="C48" s="32" t="str">
        <x:v>16. Body &amp; Effects</x:v>
      </x:c>
      <x:c r="D48" s="32" t="str">
        <x:v>Effect integration planning</x:v>
      </x:c>
      <x:c r="E48" s="32" t="str">
        <x:v>The effect cannot jam critical systems.</x:v>
      </x:c>
      <x:c r="F48" s="32" t="str">
        <x:v>Is the effect reliable enough for the cart?</x:v>
      </x:c>
      <x:c r="G48" s="32" t="str">
        <x:v>2–3h focused</x:v>
      </x:c>
      <x:c r="H48" s="32" t="str">
        <x:v>Planned</x:v>
      </x:c>
      <x:c r="I48" s="32" t="str"/>
    </x:row>
    <x:row r="49">
      <x:c r="A49" s="36" t="n">
        <x:v>46235</x:v>
      </x:c>
      <x:c r="B49" s="32" t="str">
        <x:v>Sat</x:v>
      </x:c>
      <x:c r="C49" s="32" t="str">
        <x:v>16. Body &amp; Effects</x:v>
      </x:c>
      <x:c r="D49" s="32" t="str">
        <x:v>Body/effect integration weekend</x:v>
      </x:c>
      <x:c r="E49" s="32" t="str">
        <x:v>Body and effect are mounted lightly and safely.</x:v>
      </x:c>
      <x:c r="F49" s="32" t="str">
        <x:v>Public teaser now or wait until rolling tests pass?</x:v>
      </x:c>
      <x:c r="G49" s="32" t="str">
        <x:v>3–5h build block</x:v>
      </x:c>
      <x:c r="H49" s="32" t="str">
        <x:v>Planned</x:v>
      </x:c>
      <x:c r="I49" s="32" t="str"/>
    </x:row>
    <x:row r="50">
      <x:c r="A50" s="36" t="n">
        <x:v>46236</x:v>
      </x:c>
      <x:c r="B50" s="32" t="str">
        <x:v>Sun</x:v>
      </x:c>
      <x:c r="C50" s="32" t="str">
        <x:v>16. Body &amp; Effects</x:v>
      </x:c>
      <x:c r="D50" s="32" t="str">
        <x:v>Inspection-style review</x:v>
      </x:c>
      <x:c r="E50" s="32" t="str">
        <x:v>Check the whole cart before adding paint/livery.</x:v>
      </x:c>
      <x:c r="F50" s="32" t="str"/>
      <x:c r="G50" s="32" t="str">
        <x:v>Review / buffer</x:v>
      </x:c>
      <x:c r="H50" s="32" t="str">
        <x:v>Planned</x:v>
      </x:c>
      <x:c r="I50" s="32" t="str"/>
    </x:row>
    <x:row r="51">
      <x:c r="A51" s="36" t="n">
        <x:v>46237</x:v>
      </x:c>
      <x:c r="B51" s="32" t="str">
        <x:v>Mon</x:v>
      </x:c>
      <x:c r="C51" s="32" t="str">
        <x:v>17. Finish &amp; Livery</x:v>
      </x:c>
      <x:c r="D51" s="32" t="str">
        <x:v>Surface finishing plan</x:v>
      </x:c>
      <x:c r="E51" s="32" t="str">
        <x:v>Finish work stays lightweight and removable.</x:v>
      </x:c>
      <x:c r="F51" s="32" t="str"/>
      <x:c r="G51" s="32" t="str">
        <x:v>2–3h focused</x:v>
      </x:c>
      <x:c r="H51" s="32" t="str">
        <x:v>Planned</x:v>
      </x:c>
      <x:c r="I51" s="32" t="str"/>
    </x:row>
    <x:row r="52">
      <x:c r="A52" s="36" t="n">
        <x:v>46238</x:v>
      </x:c>
      <x:c r="B52" s="32" t="str">
        <x:v>Tue</x:v>
      </x:c>
      <x:c r="C52" s="32" t="str">
        <x:v>17. Finish &amp; Livery</x:v>
      </x:c>
      <x:c r="D52" s="32" t="str">
        <x:v>Skit + costume integration</x:v>
      </x:c>
      <x:c r="E52" s="32" t="str">
        <x:v>Performance and safety gear work together.</x:v>
      </x:c>
      <x:c r="F52" s="32" t="str"/>
      <x:c r="G52" s="32" t="str">
        <x:v>2–3h focused</x:v>
      </x:c>
      <x:c r="H52" s="32" t="str">
        <x:v>Planned</x:v>
      </x:c>
      <x:c r="I52" s="32" t="str"/>
    </x:row>
    <x:row r="53">
      <x:c r="A53" s="36" t="n">
        <x:v>46239</x:v>
      </x:c>
      <x:c r="B53" s="32" t="str">
        <x:v>Wed</x:v>
      </x:c>
      <x:c r="C53" s="32" t="str">
        <x:v>17. Finish &amp; Livery</x:v>
      </x:c>
      <x:c r="D53" s="32" t="str">
        <x:v>Weight audit 1</x:v>
      </x:c>
      <x:c r="E53" s="32" t="str">
        <x:v>You catch overweight risk before paint and extras.</x:v>
      </x:c>
      <x:c r="F53" s="32" t="str">
        <x:v>Where can weight be removed with least safety penalty?</x:v>
      </x:c>
      <x:c r="G53" s="32" t="str">
        <x:v>2–3h focused</x:v>
      </x:c>
      <x:c r="H53" s="32" t="str">
        <x:v>Planned</x:v>
      </x:c>
      <x:c r="I53" s="32" t="str"/>
    </x:row>
    <x:row r="54">
      <x:c r="A54" s="36" t="n">
        <x:v>46240</x:v>
      </x:c>
      <x:c r="B54" s="32" t="str">
        <x:v>Thu</x:v>
      </x:c>
      <x:c r="C54" s="32" t="str">
        <x:v>17. Finish &amp; Livery</x:v>
      </x:c>
      <x:c r="D54" s="32" t="str">
        <x:v>Brake/steering audit</x:v>
      </x:c>
      <x:c r="E54" s="32" t="str">
        <x:v>Inspection-critical systems get a dedicated audit.</x:v>
      </x:c>
      <x:c r="F54" s="32" t="str"/>
      <x:c r="G54" s="32" t="str">
        <x:v>2–3h focused</x:v>
      </x:c>
      <x:c r="H54" s="32" t="str">
        <x:v>Planned</x:v>
      </x:c>
      <x:c r="I54" s="32" t="str"/>
    </x:row>
    <x:row r="55">
      <x:c r="A55" s="36" t="n">
        <x:v>46241</x:v>
      </x:c>
      <x:c r="B55" s="32" t="str">
        <x:v>Fri</x:v>
      </x:c>
      <x:c r="C55" s="32" t="str">
        <x:v>17. Finish &amp; Livery</x:v>
      </x:c>
      <x:c r="D55" s="32" t="str">
        <x:v>Paint/livery prep</x:v>
      </x:c>
      <x:c r="E55" s="32" t="str">
        <x:v>The cart starts looking like the concept without hiding hazards.</x:v>
      </x:c>
      <x:c r="F55" s="32" t="str"/>
      <x:c r="G55" s="32" t="str">
        <x:v>2–3h focused</x:v>
      </x:c>
      <x:c r="H55" s="32" t="str">
        <x:v>Planned</x:v>
      </x:c>
      <x:c r="I55" s="32" t="str"/>
    </x:row>
    <x:row r="56">
      <x:c r="A56" s="36" t="n">
        <x:v>46242</x:v>
      </x:c>
      <x:c r="B56" s="32" t="str">
        <x:v>Sat</x:v>
      </x:c>
      <x:c r="C56" s="32" t="str">
        <x:v>18. Testing &amp; Tuning</x:v>
      </x:c>
      <x:c r="D56" s="32" t="str">
        <x:v>Tow/flat testing weekend</x:v>
      </x:c>
      <x:c r="E56" s="32" t="str">
        <x:v>Controlled testing replaces race-day surprises.</x:v>
      </x:c>
      <x:c r="F56" s="32" t="str"/>
      <x:c r="G56" s="32" t="str">
        <x:v>3–5h build block</x:v>
      </x:c>
      <x:c r="H56" s="32" t="str">
        <x:v>Planned</x:v>
      </x:c>
      <x:c r="I56" s="32" t="str"/>
    </x:row>
    <x:row r="57">
      <x:c r="A57" s="36" t="n">
        <x:v>46243</x:v>
      </x:c>
      <x:c r="B57" s="32" t="str">
        <x:v>Sun</x:v>
      </x:c>
      <x:c r="C57" s="32" t="str">
        <x:v>18. Testing &amp; Tuning</x:v>
      </x:c>
      <x:c r="D57" s="32" t="str">
        <x:v>Fix and retest</x:v>
      </x:c>
      <x:c r="E57" s="32" t="str">
        <x:v>Failures are fixed while there is still calendar space.</x:v>
      </x:c>
      <x:c r="F57" s="32" t="str"/>
      <x:c r="G57" s="32" t="str">
        <x:v>Review / buffer</x:v>
      </x:c>
      <x:c r="H57" s="32" t="str">
        <x:v>Planned</x:v>
      </x:c>
      <x:c r="I57" s="32" t="str"/>
    </x:row>
    <x:row r="58">
      <x:c r="A58" s="36" t="n">
        <x:v>46244</x:v>
      </x:c>
      <x:c r="B58" s="32" t="str">
        <x:v>Mon</x:v>
      </x:c>
      <x:c r="C58" s="32" t="str">
        <x:v>18. Testing &amp; Tuning</x:v>
      </x:c>
      <x:c r="D58" s="32" t="str">
        <x:v>Coast-down baseline</x:v>
      </x:c>
      <x:c r="E58" s="32" t="str">
        <x:v>Real-world drag/rolling data starts.</x:v>
      </x:c>
      <x:c r="F58" s="32" t="str"/>
      <x:c r="G58" s="32" t="str">
        <x:v>2–3h focused</x:v>
      </x:c>
      <x:c r="H58" s="32" t="str">
        <x:v>Planned</x:v>
      </x:c>
      <x:c r="I58" s="32" t="str"/>
    </x:row>
    <x:row r="59">
      <x:c r="A59" s="36" t="n">
        <x:v>46245</x:v>
      </x:c>
      <x:c r="B59" s="32" t="str">
        <x:v>Tue</x:v>
      </x:c>
      <x:c r="C59" s="32" t="str">
        <x:v>18. Testing &amp; Tuning</x:v>
      </x:c>
      <x:c r="D59" s="32" t="str">
        <x:v>Tyre pressure + ballast tuning</x:v>
      </x:c>
      <x:c r="E59" s="32" t="str">
        <x:v>Speed tuning is done with data, not guesswork.</x:v>
      </x:c>
      <x:c r="F59" s="32" t="str">
        <x:v>Does ballast help without hurting braking/handling?</x:v>
      </x:c>
      <x:c r="G59" s="32" t="str">
        <x:v>2–3h focused</x:v>
      </x:c>
      <x:c r="H59" s="32" t="str">
        <x:v>Planned</x:v>
      </x:c>
      <x:c r="I59" s="32" t="str"/>
    </x:row>
    <x:row r="60">
      <x:c r="A60" s="36" t="n">
        <x:v>46246</x:v>
      </x:c>
      <x:c r="B60" s="32" t="str">
        <x:v>Wed</x:v>
      </x:c>
      <x:c r="C60" s="32" t="str">
        <x:v>18. Testing &amp; Tuning</x:v>
      </x:c>
      <x:c r="D60" s="32" t="str">
        <x:v>Aero tuft test</x:v>
      </x:c>
      <x:c r="E60" s="32" t="str">
        <x:v>Flow separation gets checked physically.</x:v>
      </x:c>
      <x:c r="F60" s="32" t="str">
        <x:v>Which aero fixes are simple enough to implement?</x:v>
      </x:c>
      <x:c r="G60" s="32" t="str">
        <x:v>2–3h focused</x:v>
      </x:c>
      <x:c r="H60" s="32" t="str">
        <x:v>Planned</x:v>
      </x:c>
      <x:c r="I60" s="32" t="str"/>
    </x:row>
    <x:row r="61">
      <x:c r="A61" s="36" t="n">
        <x:v>46247</x:v>
      </x:c>
      <x:c r="B61" s="32" t="str">
        <x:v>Thu</x:v>
      </x:c>
      <x:c r="C61" s="32" t="str">
        <x:v>18. Testing &amp; Tuning</x:v>
      </x:c>
      <x:c r="D61" s="32" t="str">
        <x:v>Reliability audit</x:v>
      </x:c>
      <x:c r="E61" s="32" t="str">
        <x:v>The cart must survive repeated runs.</x:v>
      </x:c>
      <x:c r="F61" s="32" t="str"/>
      <x:c r="G61" s="32" t="str">
        <x:v>2–3h focused</x:v>
      </x:c>
      <x:c r="H61" s="32" t="str">
        <x:v>Planned</x:v>
      </x:c>
      <x:c r="I61" s="32" t="str"/>
    </x:row>
    <x:row r="62">
      <x:c r="A62" s="36" t="n">
        <x:v>46248</x:v>
      </x:c>
      <x:c r="B62" s="32" t="str">
        <x:v>Fri</x:v>
      </x:c>
      <x:c r="C62" s="32" t="str">
        <x:v>18. Testing &amp; Tuning</x:v>
      </x:c>
      <x:c r="D62" s="32" t="str">
        <x:v>Sponsor approval checkpoint</x:v>
      </x:c>
      <x:c r="E62" s="32" t="str">
        <x:v>Branding does not create a late compliance problem.</x:v>
      </x:c>
      <x:c r="F62" s="32" t="str">
        <x:v>Any sponsor identity to submit for approval now?</x:v>
      </x:c>
      <x:c r="G62" s="32" t="str">
        <x:v>2–3h focused</x:v>
      </x:c>
      <x:c r="H62" s="32" t="str">
        <x:v>Planned</x:v>
      </x:c>
      <x:c r="I62" s="32" t="str"/>
    </x:row>
    <x:row r="63">
      <x:c r="A63" s="36" t="n">
        <x:v>46249</x:v>
      </x:c>
      <x:c r="B63" s="32" t="str">
        <x:v>Sat</x:v>
      </x:c>
      <x:c r="C63" s="32" t="str">
        <x:v>18. Testing &amp; Tuning</x:v>
      </x:c>
      <x:c r="D63" s="32" t="str">
        <x:v>Medium-slope test weekend</x:v>
      </x:c>
      <x:c r="E63" s="32" t="str">
        <x:v>Real handling is checked with controlled escalation.</x:v>
      </x:c>
      <x:c r="F63" s="32" t="str"/>
      <x:c r="G63" s="32" t="str">
        <x:v>3–5h build block</x:v>
      </x:c>
      <x:c r="H63" s="32" t="str">
        <x:v>Planned</x:v>
      </x:c>
      <x:c r="I63" s="32" t="str"/>
    </x:row>
    <x:row r="64">
      <x:c r="A64" s="36" t="n">
        <x:v>46250</x:v>
      </x:c>
      <x:c r="B64" s="32" t="str">
        <x:v>Sun</x:v>
      </x:c>
      <x:c r="C64" s="32" t="str">
        <x:v>18. Testing &amp; Tuning</x:v>
      </x:c>
      <x:c r="D64" s="32" t="str">
        <x:v>Fixes after medium test</x:v>
      </x:c>
      <x:c r="E64" s="32" t="str">
        <x:v>No known serious issue carries forward.</x:v>
      </x:c>
      <x:c r="F64" s="32" t="str"/>
      <x:c r="G64" s="32" t="str">
        <x:v>Review / buffer</x:v>
      </x:c>
      <x:c r="H64" s="32" t="str">
        <x:v>Planned</x:v>
      </x:c>
      <x:c r="I64" s="32" t="str"/>
    </x:row>
    <x:row r="65">
      <x:c r="A65" s="36" t="n">
        <x:v>46251</x:v>
      </x:c>
      <x:c r="B65" s="32" t="str">
        <x:v>Mon</x:v>
      </x:c>
      <x:c r="C65" s="32" t="str">
        <x:v>19. Race Readiness</x:v>
      </x:c>
      <x:c r="D65" s="32" t="str">
        <x:v>Skit rehearsal 1</x:v>
      </x:c>
      <x:c r="E65" s="32" t="str">
        <x:v>Performance becomes repeatable.</x:v>
      </x:c>
      <x:c r="F65" s="32" t="str"/>
      <x:c r="G65" s="32" t="str">
        <x:v>2–3h focused</x:v>
      </x:c>
      <x:c r="H65" s="32" t="str">
        <x:v>Planned</x:v>
      </x:c>
      <x:c r="I65" s="32" t="str"/>
    </x:row>
    <x:row r="66">
      <x:c r="A66" s="36" t="n">
        <x:v>46252</x:v>
      </x:c>
      <x:c r="B66" s="32" t="str">
        <x:v>Tue</x:v>
      </x:c>
      <x:c r="C66" s="32" t="str">
        <x:v>19. Race Readiness</x:v>
      </x:c>
      <x:c r="D66" s="32" t="str">
        <x:v>Final safety upgrades</x:v>
      </x:c>
      <x:c r="E66" s="32" t="str">
        <x:v>The cockpit/driver safety kit is not optional.</x:v>
      </x:c>
      <x:c r="F66" s="32" t="str"/>
      <x:c r="G66" s="32" t="str">
        <x:v>2–3h focused</x:v>
      </x:c>
      <x:c r="H66" s="32" t="str">
        <x:v>Planned</x:v>
      </x:c>
      <x:c r="I66" s="32" t="str"/>
    </x:row>
    <x:row r="67">
      <x:c r="A67" s="36" t="n">
        <x:v>46253</x:v>
      </x:c>
      <x:c r="B67" s="32" t="str">
        <x:v>Wed</x:v>
      </x:c>
      <x:c r="C67" s="32" t="str">
        <x:v>19. Race Readiness</x:v>
      </x:c>
      <x:c r="D67" s="32" t="str">
        <x:v>Fastener + bearing service</x:v>
      </x:c>
      <x:c r="E67" s="32" t="str">
        <x:v>Free speed and reliability get a quiet engineering pass.</x:v>
      </x:c>
      <x:c r="F67" s="32" t="str"/>
      <x:c r="G67" s="32" t="str">
        <x:v>2–3h focused</x:v>
      </x:c>
      <x:c r="H67" s="32" t="str">
        <x:v>Planned</x:v>
      </x:c>
      <x:c r="I67" s="32" t="str"/>
    </x:row>
    <x:row r="68">
      <x:c r="A68" s="36" t="n">
        <x:v>46254</x:v>
      </x:c>
      <x:c r="B68" s="32" t="str">
        <x:v>Thu</x:v>
      </x:c>
      <x:c r="C68" s="32" t="str">
        <x:v>19. Race Readiness</x:v>
      </x:c>
      <x:c r="D68" s="32" t="str">
        <x:v>Pre-tech checklist</x:v>
      </x:c>
      <x:c r="E68" s="32" t="str">
        <x:v>You test against inspection before inspection tests you.</x:v>
      </x:c>
      <x:c r="F68" s="32" t="str"/>
      <x:c r="G68" s="32" t="str">
        <x:v>2–3h focused</x:v>
      </x:c>
      <x:c r="H68" s="32" t="str">
        <x:v>Planned</x:v>
      </x:c>
      <x:c r="I68" s="32" t="str"/>
    </x:row>
    <x:row r="69">
      <x:c r="A69" s="36" t="n">
        <x:v>46255</x:v>
      </x:c>
      <x:c r="B69" s="32" t="str">
        <x:v>Fri</x:v>
      </x:c>
      <x:c r="C69" s="32" t="str">
        <x:v>19. Race Readiness</x:v>
      </x:c>
      <x:c r="D69" s="32" t="str">
        <x:v>Final livery and recognisability</x:v>
      </x:c>
      <x:c r="E69" s="32" t="str">
        <x:v>The cart reads clearly at speed and in photos.</x:v>
      </x:c>
      <x:c r="F69" s="32" t="str"/>
      <x:c r="G69" s="32" t="str">
        <x:v>2–3h focused</x:v>
      </x:c>
      <x:c r="H69" s="32" t="str">
        <x:v>Planned</x:v>
      </x:c>
      <x:c r="I69" s="32" t="str"/>
    </x:row>
    <x:row r="70">
      <x:c r="A70" s="36" t="n">
        <x:v>46256</x:v>
      </x:c>
      <x:c r="B70" s="32" t="str">
        <x:v>Sat</x:v>
      </x:c>
      <x:c r="C70" s="32" t="str">
        <x:v>19. Race Readiness</x:v>
      </x:c>
      <x:c r="D70" s="32" t="str">
        <x:v>Full dress rehearsal test</x:v>
      </x:c>
      <x:c r="E70" s="32" t="str">
        <x:v>Cart, driver, costume, and skit are tested together.</x:v>
      </x:c>
      <x:c r="F70" s="32" t="str">
        <x:v>Is the project ready to show publicly?</x:v>
      </x:c>
      <x:c r="G70" s="32" t="str">
        <x:v>3–5h build block</x:v>
      </x:c>
      <x:c r="H70" s="32" t="str">
        <x:v>Planned</x:v>
      </x:c>
      <x:c r="I70" s="32" t="str"/>
    </x:row>
    <x:row r="71">
      <x:c r="A71" s="36" t="n">
        <x:v>46257</x:v>
      </x:c>
      <x:c r="B71" s="32" t="str">
        <x:v>Sun</x:v>
      </x:c>
      <x:c r="C71" s="32" t="str">
        <x:v>19. Race Readiness</x:v>
      </x:c>
      <x:c r="D71" s="32" t="str">
        <x:v>Recovery/fix buffer</x:v>
      </x:c>
      <x:c r="E71" s="32" t="str">
        <x:v>A deliberate buffer prevents rushed mistakes.</x:v>
      </x:c>
      <x:c r="F71" s="32" t="str"/>
      <x:c r="G71" s="32" t="str">
        <x:v>Review / buffer</x:v>
      </x:c>
      <x:c r="H71" s="32" t="str">
        <x:v>Planned</x:v>
      </x:c>
      <x:c r="I71" s="32" t="str"/>
    </x:row>
    <x:row r="72">
      <x:c r="A72" s="36" t="n">
        <x:v>46258</x:v>
      </x:c>
      <x:c r="B72" s="32" t="str">
        <x:v>Mon</x:v>
      </x:c>
      <x:c r="C72" s="32" t="str">
        <x:v>19. Race Readiness</x:v>
      </x:c>
      <x:c r="D72" s="32" t="str">
        <x:v>Documentation pack</x:v>
      </x:c>
      <x:c r="E72" s="32" t="str">
        <x:v>Anyone on the team can understand the cart.</x:v>
      </x:c>
      <x:c r="F72" s="32" t="str"/>
      <x:c r="G72" s="32" t="str">
        <x:v>2–3h focused</x:v>
      </x:c>
      <x:c r="H72" s="32" t="str">
        <x:v>Planned</x:v>
      </x:c>
      <x:c r="I72" s="32" t="str"/>
    </x:row>
    <x:row r="73">
      <x:c r="A73" s="36" t="n">
        <x:v>46259</x:v>
      </x:c>
      <x:c r="B73" s="32" t="str">
        <x:v>Tue</x:v>
      </x:c>
      <x:c r="C73" s="32" t="str">
        <x:v>19. Race Readiness</x:v>
      </x:c>
      <x:c r="D73" s="32" t="str">
        <x:v>Spares + transport plan</x:v>
      </x:c>
      <x:c r="E73" s="32" t="str">
        <x:v>Logistics stop being a hidden blocker.</x:v>
      </x:c>
      <x:c r="F73" s="32" t="str">
        <x:v>How will the finished cart be moved safely?</x:v>
      </x:c>
      <x:c r="G73" s="32" t="str">
        <x:v>2–3h focused</x:v>
      </x:c>
      <x:c r="H73" s="32" t="str">
        <x:v>Planned</x:v>
      </x:c>
      <x:c r="I73" s="32" t="str"/>
    </x:row>
    <x:row r="74">
      <x:c r="A74" s="36" t="n">
        <x:v>46260</x:v>
      </x:c>
      <x:c r="B74" s="32" t="str">
        <x:v>Wed</x:v>
      </x:c>
      <x:c r="C74" s="32" t="str">
        <x:v>19. Race Readiness</x:v>
      </x:c>
      <x:c r="D74" s="32" t="str">
        <x:v>Final medium test or controlled static review</x:v>
      </x:c>
      <x:c r="E74" s="32" t="str">
        <x:v>Choose data or restraint based on risk.</x:v>
      </x:c>
      <x:c r="F74" s="32" t="str">
        <x:v>Run another test or preserve the cart?</x:v>
      </x:c>
      <x:c r="G74" s="32" t="str">
        <x:v>2–3h focused</x:v>
      </x:c>
      <x:c r="H74" s="32" t="str">
        <x:v>Planned</x:v>
      </x:c>
      <x:c r="I74" s="32" t="str"/>
    </x:row>
    <x:row r="75">
      <x:c r="A75" s="36" t="n">
        <x:v>46261</x:v>
      </x:c>
      <x:c r="B75" s="32" t="str">
        <x:v>Thu</x:v>
      </x:c>
      <x:c r="C75" s="32" t="str">
        <x:v>19. Race Readiness</x:v>
      </x:c>
      <x:c r="D75" s="32" t="str">
        <x:v>Freeze build changes</x:v>
      </x:c>
      <x:c r="E75" s="32" t="str">
        <x:v>Stop tinkering unless safety requires it.</x:v>
      </x:c>
      <x:c r="F75" s="32" t="str">
        <x:v>Is the cart stable enough to freeze?</x:v>
      </x:c>
      <x:c r="G75" s="32" t="str">
        <x:v>2–3h focused</x:v>
      </x:c>
      <x:c r="H75" s="32" t="str">
        <x:v>Planned</x:v>
      </x:c>
      <x:c r="I75" s="32" t="str"/>
    </x:row>
    <x:row r="76">
      <x:c r="A76" s="36" t="n">
        <x:v>46262</x:v>
      </x:c>
      <x:c r="B76" s="32" t="str">
        <x:v>Fri</x:v>
      </x:c>
      <x:c r="C76" s="32" t="str">
        <x:v>19. Race Readiness</x:v>
      </x:c>
      <x:c r="D76" s="32" t="str">
        <x:v>Public update decision</x:v>
      </x:c>
      <x:c r="E76" s="32" t="str">
        <x:v>Build-in-public can start only if it helps, not distracts.</x:v>
      </x:c>
      <x:c r="F76" s="32" t="str">
        <x:v>Launch follow-our-story now, later, or after selection confirmation?</x:v>
      </x:c>
      <x:c r="G76" s="32" t="str">
        <x:v>2–3h focused</x:v>
      </x:c>
      <x:c r="H76" s="32" t="str">
        <x:v>Planned</x:v>
      </x:c>
      <x:c r="I76" s="32" t="str"/>
    </x:row>
    <x:row r="77">
      <x:c r="A77" s="36" t="n">
        <x:v>46263</x:v>
      </x:c>
      <x:c r="B77" s="32" t="str">
        <x:v>Sat</x:v>
      </x:c>
      <x:c r="C77" s="32" t="str">
        <x:v>19. Race Readiness</x:v>
      </x:c>
      <x:c r="D77" s="32" t="str">
        <x:v>Final polish + no-drama checks</x:v>
      </x:c>
      <x:c r="E77" s="32" t="str">
        <x:v>Make it look good without making it worse.</x:v>
      </x:c>
      <x:c r="F77" s="32" t="str"/>
      <x:c r="G77" s="32" t="str">
        <x:v>3–5h build block</x:v>
      </x:c>
      <x:c r="H77" s="32" t="str">
        <x:v>Planned</x:v>
      </x:c>
      <x:c r="I77" s="32" t="str"/>
    </x:row>
    <x:row r="78">
      <x:c r="A78" s="36" t="n">
        <x:v>46264</x:v>
      </x:c>
      <x:c r="B78" s="32" t="str">
        <x:v>Sun</x:v>
      </x:c>
      <x:c r="C78" s="32" t="str">
        <x:v>19. Race Readiness</x:v>
      </x:c>
      <x:c r="D78" s="32" t="str">
        <x:v>Team rehearsal + contingency</x:v>
      </x:c>
      <x:c r="E78" s="32" t="str">
        <x:v>Everyone knows the runbook.</x:v>
      </x:c>
      <x:c r="F78" s="32" t="str"/>
      <x:c r="G78" s="32" t="str">
        <x:v>Review / buffer</x:v>
      </x:c>
      <x:c r="H78" s="32" t="str">
        <x:v>Planned</x:v>
      </x:c>
      <x:c r="I78" s="32" t="str"/>
    </x:row>
    <x:row r="79">
      <x:c r="A79" s="36" t="n">
        <x:v>46265</x:v>
      </x:c>
      <x:c r="B79" s="32" t="str">
        <x:v>Mon</x:v>
      </x:c>
      <x:c r="C79" s="32" t="str">
        <x:v>19. Race Readiness</x:v>
      </x:c>
      <x:c r="D79" s="32" t="str">
        <x:v>September handoff board</x:v>
      </x:c>
      <x:c r="E79" s="32" t="str">
        <x:v>The project moves into race-month maintenance mode.</x:v>
      </x:c>
      <x:c r="F79" s="32" t="str"/>
      <x:c r="G79" s="32" t="str">
        <x:v>2–3h focused</x:v>
      </x:c>
      <x:c r="H79" s="32" t="str">
        <x:v>Planned</x:v>
      </x:c>
      <x:c r="I79" s="32" t="str"/>
    </x:row>
  </x:sheetData>
  <x:mergeCells>
    <x:mergeCell ref="A1:I1"/>
    <x:mergeCell ref="A2:I2"/>
  </x:mergeCells>
  <x:conditionalFormatting sqref="A5:I79">
    <x:cfRule type="expression" dxfId="5" priority="1">
      <x:formula>$F5&lt;&gt;""</x:formula>
    </x:cfRule>
    <x:cfRule type="expression" dxfId="6" priority="2">
      <x:formula>$H5="Complete"</x:formula>
    </x:cfRule>
  </x:conditionalFormatting>
  <x:dataValidations count="1">
    <x:dataValidation type="list" sqref="H5:H79">
      <x:formula1>"Planned,In Progress,Complete,Shifted,Blocked"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57b160637b44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6" hidden="0" customWidth="1"/>
    <x:col min="5" max="5" width="34" hidden="0" customWidth="1"/>
    <x:col min="6" max="6" width="36" hidden="0" customWidth="1"/>
    <x:col min="7" max="7" width="14" hidden="0" customWidth="1"/>
    <x:col min="8" max="8" width="12" hidden="0" customWidth="1"/>
    <x:col min="9" max="9" width="16" hidden="0" customWidth="1"/>
    <x:col min="10" max="10" width="34" hidden="0" customWidth="1"/>
  </x:cols>
  <x:sheetData>
    <x:row r="1" ht="30" customHeight="1">
      <x:c r="A1" s="86" t="str">
        <x:v>Decision Log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Every risky choice should have an owner, due date, status, and evidence. Avoid ghost decisions.</x:v>
      </x:c>
    </x:row>
    <x:row r="4" ht="32" customHeight="1">
      <x:c r="A4" s="23" t="str">
        <x:v>Decision ID</x:v>
      </x:c>
      <x:c r="B4" s="23" t="str">
        <x:v>Due Date</x:v>
      </x:c>
      <x:c r="C4" s="23" t="str">
        <x:v>Area</x:v>
      </x:c>
      <x:c r="D4" s="23" t="str">
        <x:v>Decision Needed</x:v>
      </x:c>
      <x:c r="E4" s="23" t="str">
        <x:v>Default / Recommendation</x:v>
      </x:c>
      <x:c r="F4" s="23" t="str">
        <x:v>Why It Matters</x:v>
      </x:c>
      <x:c r="G4" s="23" t="str">
        <x:v>Status</x:v>
      </x:c>
      <x:c r="H4" s="23" t="str">
        <x:v>Owner</x:v>
      </x:c>
      <x:c r="I4" s="23" t="str">
        <x:v>Linked Tasks</x:v>
      </x:c>
      <x:c r="J4" s="23" t="str">
        <x:v>Notes</x:v>
      </x:c>
    </x:row>
    <x:row r="5">
      <x:c r="A5" s="32" t="str">
        <x:v>D001</x:v>
      </x:c>
      <x:c r="B5" s="36" t="n">
        <x:v>46191</x:v>
      </x:c>
      <x:c r="C5" s="32" t="str">
        <x:v>Rules</x:v>
      </x:c>
      <x:c r="D5" s="32" t="str">
        <x:v>Confirm live application deadline and binding event date.</x:v>
      </x:c>
      <x:c r="E5" s="32" t="str">
        <x:v>Use official portal as source of truth.</x:v>
      </x:c>
      <x:c r="F5" s="32" t="str">
        <x:v>The schedule and sponsor timing depend on it.</x:v>
      </x:c>
      <x:c r="G5" s="32" t="str">
        <x:v>Open</x:v>
      </x:c>
      <x:c r="H5" s="32" t="str">
        <x:v>Kenny</x:v>
      </x:c>
      <x:c r="I5" s="32" t="str">
        <x:v>T002</x:v>
      </x:c>
      <x:c r="J5" s="32" t="str"/>
    </x:row>
    <x:row r="6">
      <x:c r="A6" s="32" t="str">
        <x:v>D002</x:v>
      </x:c>
      <x:c r="B6" s="36" t="n">
        <x:v>46194</x:v>
      </x:c>
      <x:c r="C6" s="32" t="str">
        <x:v>Chassis</x:v>
      </x:c>
      <x:c r="D6" s="32" t="str">
        <x:v>Choose baseline chassis route.</x:v>
      </x:c>
      <x:c r="E6" s="32" t="str">
        <x:v>No-weld ply/bolt-together structure unless donor parts force otherwise.</x:v>
      </x:c>
      <x:c r="F6" s="32" t="str">
        <x:v>Buildability and safety for a first-time team.</x:v>
      </x:c>
      <x:c r="G6" s="32" t="str">
        <x:v>Open</x:v>
      </x:c>
      <x:c r="H6" s="32" t="str">
        <x:v>Kenny</x:v>
      </x:c>
      <x:c r="I6" s="32" t="str">
        <x:v>T010,T012</x:v>
      </x:c>
      <x:c r="J6" s="32" t="str"/>
    </x:row>
    <x:row r="7">
      <x:c r="A7" s="32" t="str">
        <x:v>D003</x:v>
      </x:c>
      <x:c r="B7" s="36" t="n">
        <x:v>46194</x:v>
      </x:c>
      <x:c r="C7" s="32" t="str">
        <x:v>Steering</x:v>
      </x:c>
      <x:c r="D7" s="32" t="str">
        <x:v>Confirm donor go-kart front-end strategy.</x:v>
      </x:c>
      <x:c r="E7" s="32" t="str">
        <x:v>Pedal go-kart front axle/pitman steering if available.</x:v>
      </x:c>
      <x:c r="F7" s="32" t="str">
        <x:v>Steering quality is inspection-critical.</x:v>
      </x:c>
      <x:c r="G7" s="32" t="str">
        <x:v>Open</x:v>
      </x:c>
      <x:c r="H7" s="32" t="str">
        <x:v>Kenny</x:v>
      </x:c>
      <x:c r="I7" s="32" t="str">
        <x:v>T011</x:v>
      </x:c>
      <x:c r="J7" s="32" t="str"/>
    </x:row>
    <x:row r="8">
      <x:c r="A8" s="32" t="str">
        <x:v>D004</x:v>
      </x:c>
      <x:c r="B8" s="36" t="n">
        <x:v>46199</x:v>
      </x:c>
      <x:c r="C8" s="32" t="str">
        <x:v>Brakes</x:v>
      </x:c>
      <x:c r="D8" s="32" t="str">
        <x:v>Choose braking baseline.</x:v>
      </x:c>
      <x:c r="E8" s="32" t="str">
        <x:v>Mechanical rear brake plus backup drag brake if weight allows.</x:v>
      </x:c>
      <x:c r="F8" s="32" t="str">
        <x:v>Stopping is mandatory and must be testable.</x:v>
      </x:c>
      <x:c r="G8" s="32" t="str">
        <x:v>Open</x:v>
      </x:c>
      <x:c r="H8" s="32" t="str">
        <x:v>Kenny</x:v>
      </x:c>
      <x:c r="I8" s="32" t="str">
        <x:v>T027</x:v>
      </x:c>
      <x:c r="J8" s="32" t="str"/>
    </x:row>
    <x:row r="9">
      <x:c r="A9" s="32" t="str">
        <x:v>D005</x:v>
      </x:c>
      <x:c r="B9" s="36" t="n">
        <x:v>46200</x:v>
      </x:c>
      <x:c r="C9" s="32" t="str">
        <x:v>Mass</x:v>
      </x:c>
      <x:c r="D9" s="32" t="str">
        <x:v>Set pre-ballast mass target.</x:v>
      </x:c>
      <x:c r="E9" s="32" t="str">
        <x:v>Aim comfortably under 80 kg before optional low ballast.</x:v>
      </x:c>
      <x:c r="F9" s="32" t="str">
        <x:v>Prevents late overweight panic.</x:v>
      </x:c>
      <x:c r="G9" s="32" t="str">
        <x:v>Open</x:v>
      </x:c>
      <x:c r="H9" s="32" t="str">
        <x:v>Kenny</x:v>
      </x:c>
      <x:c r="I9" s="32" t="str">
        <x:v>T029</x:v>
      </x:c>
      <x:c r="J9" s="32" t="str"/>
    </x:row>
    <x:row r="10">
      <x:c r="A10" s="32" t="str">
        <x:v>D006</x:v>
      </x:c>
      <x:c r="B10" s="36" t="n">
        <x:v>46205</x:v>
      </x:c>
      <x:c r="C10" s="32" t="str">
        <x:v>Structure</x:v>
      </x:c>
      <x:c r="D10" s="32" t="str">
        <x:v>Approve chassis bracing after FEA.</x:v>
      </x:c>
      <x:c r="E10" s="32" t="str">
        <x:v>Proceed only if safety-factor target is credible.</x:v>
      </x:c>
      <x:c r="F10" s="32" t="str">
        <x:v>No build without structural evidence.</x:v>
      </x:c>
      <x:c r="G10" s="32" t="str">
        <x:v>Open</x:v>
      </x:c>
      <x:c r="H10" s="32" t="str">
        <x:v>Kenny</x:v>
      </x:c>
      <x:c r="I10" s="32" t="str">
        <x:v>T047</x:v>
      </x:c>
      <x:c r="J10" s="32" t="str"/>
    </x:row>
    <x:row r="11">
      <x:c r="A11" s="32" t="str">
        <x:v>D007</x:v>
      </x:c>
      <x:c r="B11" s="36" t="n">
        <x:v>46207</x:v>
      </x:c>
      <x:c r="C11" s="32" t="str">
        <x:v>Aerodynamics</x:v>
      </x:c>
      <x:c r="D11" s="32" t="str">
        <x:v>Choose body rake/boat-tail geometry.</x:v>
      </x:c>
      <x:c r="E11" s="32" t="str">
        <x:v>Use variant with clear improvement and easy fabrication.</x:v>
      </x:c>
      <x:c r="F11" s="32" t="str">
        <x:v>Keeps the heater concept from being a drag parachute.</x:v>
      </x:c>
      <x:c r="G11" s="32" t="str">
        <x:v>Open</x:v>
      </x:c>
      <x:c r="H11" s="32" t="str">
        <x:v>Kenny</x:v>
      </x:c>
      <x:c r="I11" s="32" t="str">
        <x:v>T053</x:v>
      </x:c>
      <x:c r="J11" s="32" t="str"/>
    </x:row>
    <x:row r="12">
      <x:c r="A12" s="32" t="str">
        <x:v>D008</x:v>
      </x:c>
      <x:c r="B12" s="36" t="n">
        <x:v>46208</x:v>
      </x:c>
      <x:c r="C12" s="32" t="str">
        <x:v>Effect</x:v>
      </x:c>
      <x:c r="D12" s="32" t="str">
        <x:v>Choose legal glow mechanism and backup.</x:v>
      </x:c>
      <x:c r="E12" s="32" t="str">
        <x:v>Airflow/fabric/manual fallback; no batteries or pyrotechnics.</x:v>
      </x:c>
      <x:c r="F12" s="32" t="str">
        <x:v>Spectacle must not cause inspection failure or jams.</x:v>
      </x:c>
      <x:c r="G12" s="32" t="str">
        <x:v>Open</x:v>
      </x:c>
      <x:c r="H12" s="32" t="str">
        <x:v>Kenny</x:v>
      </x:c>
      <x:c r="I12" s="32" t="str">
        <x:v>T056</x:v>
      </x:c>
      <x:c r="J12" s="32" t="str"/>
    </x:row>
    <x:row r="13">
      <x:c r="A13" s="32" t="str">
        <x:v>D009</x:v>
      </x:c>
      <x:c r="B13" s="36" t="n">
        <x:v>46213</x:v>
      </x:c>
      <x:c r="C13" s="32" t="str">
        <x:v>Gate</x:v>
      </x:c>
      <x:c r="D13" s="32" t="str">
        <x:v>Freeze design or revise before build.</x:v>
      </x:c>
      <x:c r="E13" s="32" t="str">
        <x:v>Build only after Gate 1 is defensible.</x:v>
      </x:c>
      <x:c r="F13" s="32" t="str">
        <x:v>Prevents expensive rework.</x:v>
      </x:c>
      <x:c r="G13" s="32" t="str">
        <x:v>Open</x:v>
      </x:c>
      <x:c r="H13" s="32" t="str">
        <x:v>Kenny</x:v>
      </x:c>
      <x:c r="I13" s="32" t="str">
        <x:v>T071</x:v>
      </x:c>
      <x:c r="J13" s="32" t="str"/>
    </x:row>
    <x:row r="14">
      <x:c r="A14" s="32" t="str">
        <x:v>D010</x:v>
      </x:c>
      <x:c r="B14" s="36" t="n">
        <x:v>46262</x:v>
      </x:c>
      <x:c r="C14" s="32" t="str">
        <x:v>Public Build</x:v>
      </x:c>
      <x:c r="D14" s="32" t="str">
        <x:v>Start build-in-public updates, wait, or keep private.</x:v>
      </x:c>
      <x:c r="E14" s="32" t="str">
        <x:v>Launch only after validated build progress and sponsor/privacy checks.</x:v>
      </x:c>
      <x:c r="F14" s="32" t="str">
        <x:v>Public story should build trust, not invite chaos goblins.</x:v>
      </x:c>
      <x:c r="G14" s="32" t="str">
        <x:v>Open</x:v>
      </x:c>
      <x:c r="H14" s="32" t="str">
        <x:v>Kenny</x:v>
      </x:c>
      <x:c r="I14" s="32" t="str">
        <x:v>T174</x:v>
      </x:c>
      <x:c r="J14" s="32" t="str"/>
    </x:row>
  </x:sheetData>
  <x:mergeCells>
    <x:mergeCell ref="A1:J1"/>
    <x:mergeCell ref="A2:J2"/>
  </x:mergeCells>
  <x:conditionalFormatting sqref="A5:J14">
    <x:cfRule type="expression" dxfId="7" priority="1">
      <x:formula>$G5="Open"</x:formula>
    </x:cfRule>
    <x:cfRule type="expression" dxfId="8" priority="2">
      <x:formula>$G5="Decided"</x:formula>
    </x:cfRule>
    <x:cfRule type="expression" dxfId="9" priority="3">
      <x:formula>$G5="Blocked"</x:formula>
    </x:cfRule>
  </x:conditionalFormatting>
  <x:dataValidations count="1">
    <x:dataValidation type="list" sqref="G5:G14">
      <x:formula1>"Open,In Review,Decided,Blocked,Deferred"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a806fde8be4b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6" hidden="0" customWidth="1"/>
    <x:col min="5" max="5" width="18" hidden="0" customWidth="1"/>
    <x:col min="6" max="6" width="34" hidden="0" customWidth="1"/>
    <x:col min="7" max="7" width="36" hidden="0" customWidth="1"/>
    <x:col min="8" max="8" width="22" hidden="0" customWidth="1"/>
    <x:col min="9" max="9" width="26" hidden="0" customWidth="1"/>
    <x:col min="10" max="10" width="20" hidden="0" customWidth="1"/>
    <x:col min="11" max="11" width="12" hidden="0" customWidth="1"/>
    <x:col min="12" max="12" width="26" hidden="0" customWidth="1"/>
    <x:col min="13" max="13" width="32" hidden="0" customWidth="1"/>
  </x:cols>
  <x:sheetData>
    <x:row r="1" ht="30" customHeight="1">
      <x:c r="A1" s="86" t="str">
        <x:v>Simulation Runs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Log each FEA/CFD run like an experiment: same inputs, comparable outputs, clear next action.</x:v>
      </x:c>
    </x:row>
    <x:row r="4" ht="34" customHeight="1">
      <x:c r="A4" s="23" t="str">
        <x:v>Run ID</x:v>
      </x:c>
      <x:c r="B4" s="23" t="str">
        <x:v>Planned Date</x:v>
      </x:c>
      <x:c r="C4" s="23" t="str">
        <x:v>Type</x:v>
      </x:c>
      <x:c r="D4" s="23" t="str">
        <x:v>Tool</x:v>
      </x:c>
      <x:c r="E4" s="23" t="str">
        <x:v>Model Version</x:v>
      </x:c>
      <x:c r="F4" s="23" t="str">
        <x:v>Variant / Question</x:v>
      </x:c>
      <x:c r="G4" s="23" t="str">
        <x:v>Key Inputs</x:v>
      </x:c>
      <x:c r="H4" s="23" t="str">
        <x:v>Metric</x:v>
      </x:c>
      <x:c r="I4" s="23" t="str">
        <x:v>Target</x:v>
      </x:c>
      <x:c r="J4" s="23" t="str">
        <x:v>Result</x:v>
      </x:c>
      <x:c r="K4" s="23" t="str">
        <x:v>Pass?</x:v>
      </x:c>
      <x:c r="L4" s="23" t="str">
        <x:v>Next Action</x:v>
      </x:c>
      <x:c r="M4" s="23" t="str">
        <x:v>Evidence Link / Notes</x:v>
      </x:c>
    </x:row>
    <x:row r="5">
      <x:c r="A5" s="32" t="str">
        <x:v>FEA-00</x:v>
      </x:c>
      <x:c r="B5" s="36" t="n">
        <x:v>46204</x:v>
      </x:c>
      <x:c r="C5" s="32" t="str">
        <x:v>Practice</x:v>
      </x:c>
      <x:c r="D5" s="32" t="str">
        <x:v>Fusion</x:v>
      </x:c>
      <x:c r="E5" s="32" t="str">
        <x:v>Tutorial</x:v>
      </x:c>
      <x:c r="F5" s="32" t="str">
        <x:v>Can I set constraints/materials correctly?</x:v>
      </x:c>
      <x:c r="G5" s="32" t="str">
        <x:v>Simple beam or plate</x:v>
      </x:c>
      <x:c r="H5" s="32" t="str">
        <x:v>Setup confidence</x:v>
      </x:c>
      <x:c r="I5" s="32" t="str">
        <x:v>No setup errors</x:v>
      </x:c>
      <x:c r="J5" s="32" t="str"/>
      <x:c r="K5" s="32" t="str">
        <x:v>Pending</x:v>
      </x:c>
      <x:c r="L5" s="32" t="str">
        <x:v>Use before real chassis</x:v>
      </x:c>
      <x:c r="M5" s="32" t="str">
        <x:v>https://www.autodesk.com/products/fusion-360/personal</x:v>
      </x:c>
    </x:row>
    <x:row r="6">
      <x:c r="A6" s="32" t="str">
        <x:v>FEA-01</x:v>
      </x:c>
      <x:c r="B6" s="36" t="n">
        <x:v>46204</x:v>
      </x:c>
      <x:c r="C6" s="32" t="str">
        <x:v>Structural FEA</x:v>
      </x:c>
      <x:c r="D6" s="32" t="str">
        <x:v>Fusion</x:v>
      </x:c>
      <x:c r="E6" s="32" t="str">
        <x:v>Chassis v0</x:v>
      </x:c>
      <x:c r="F6" s="32" t="str">
        <x:v>Where does baseline chassis fail?</x:v>
      </x:c>
      <x:c r="G6" s="32" t="str">
        <x:v>Static + 4–5× landing load approximation</x:v>
      </x:c>
      <x:c r="H6" s="32" t="str">
        <x:v>Safety factor / displacement</x:v>
      </x:c>
      <x:c r="I6" s="32" t="str">
        <x:v>SF ≈ 2 on stressed joints</x:v>
      </x:c>
      <x:c r="J6" s="32" t="str"/>
      <x:c r="K6" s="32" t="str">
        <x:v>Pending</x:v>
      </x:c>
      <x:c r="L6" s="32" t="str">
        <x:v>Add bracing/gussets</x:v>
      </x:c>
      <x:c r="M6" s="32" t="str">
        <x:v>Task T045-T047</x:v>
      </x:c>
    </x:row>
    <x:row r="7">
      <x:c r="A7" s="32" t="str">
        <x:v>FEA-02</x:v>
      </x:c>
      <x:c r="B7" s="36" t="n">
        <x:v>46205</x:v>
      </x:c>
      <x:c r="C7" s="32" t="str">
        <x:v>Structural FEA</x:v>
      </x:c>
      <x:c r="D7" s="32" t="str">
        <x:v>Fusion</x:v>
      </x:c>
      <x:c r="E7" s="32" t="str">
        <x:v>Chassis v1</x:v>
      </x:c>
      <x:c r="F7" s="32" t="str">
        <x:v>Did bracing fix weak points?</x:v>
      </x:c>
      <x:c r="G7" s="32" t="str">
        <x:v>Same load cases as FEA-01</x:v>
      </x:c>
      <x:c r="H7" s="32" t="str">
        <x:v>Safety factor / displacement</x:v>
      </x:c>
      <x:c r="I7" s="32" t="str">
        <x:v>Improves vs FEA-01; target SF ≈ 2</x:v>
      </x:c>
      <x:c r="J7" s="32" t="str"/>
      <x:c r="K7" s="32" t="str">
        <x:v>Pending</x:v>
      </x:c>
      <x:c r="L7" s="32" t="str">
        <x:v>Approve or redesign</x:v>
      </x:c>
      <x:c r="M7" s="32" t="str">
        <x:v>Task T048-T050</x:v>
      </x:c>
    </x:row>
    <x:row r="8">
      <x:c r="A8" s="32" t="str">
        <x:v>CFD-01</x:v>
      </x:c>
      <x:c r="B8" s="36" t="n">
        <x:v>46206</x:v>
      </x:c>
      <x:c r="C8" s="32" t="str">
        <x:v>External Aero CFD</x:v>
      </x:c>
      <x:c r="D8" s="32" t="str">
        <x:v>SimScale</x:v>
      </x:c>
      <x:c r="E8" s="32" t="str">
        <x:v>Body upright baseline</x:v>
      </x:c>
      <x:c r="F8" s="32" t="str">
        <x:v>How bad is the upright heater?</x:v>
      </x:c>
      <x:c r="G8" s="32" t="str">
        <x:v>Same wind speed / domain / mesh for all variants</x:v>
      </x:c>
      <x:c r="H8" s="32" t="str">
        <x:v>Drag or relative drag + wake</x:v>
      </x:c>
      <x:c r="I8" s="32" t="str">
        <x:v>Baseline only</x:v>
      </x:c>
      <x:c r="J8" s="32" t="str"/>
      <x:c r="K8" s="32" t="str">
        <x:v>Pending</x:v>
      </x:c>
      <x:c r="L8" s="32" t="str">
        <x:v>Compare variants</x:v>
      </x:c>
      <x:c r="M8" s="32" t="str">
        <x:v>https://www.simscale.com/product/cfd/</x:v>
      </x:c>
    </x:row>
    <x:row r="9">
      <x:c r="A9" s="32" t="str">
        <x:v>CFD-02</x:v>
      </x:c>
      <x:c r="B9" s="36" t="n">
        <x:v>46207</x:v>
      </x:c>
      <x:c r="C9" s="32" t="str">
        <x:v>External Aero CFD</x:v>
      </x:c>
      <x:c r="D9" s="32" t="str">
        <x:v>SimScale</x:v>
      </x:c>
      <x:c r="E9" s="32" t="str">
        <x:v>Raked body</x:v>
      </x:c>
      <x:c r="F9" s="32" t="str">
        <x:v>Does rake improve drag/wake?</x:v>
      </x:c>
      <x:c r="G9" s="32" t="str">
        <x:v>Same settings as CFD-01</x:v>
      </x:c>
      <x:c r="H9" s="32" t="str">
        <x:v>Relative drag/wake</x:v>
      </x:c>
      <x:c r="I9" s="32" t="str">
        <x:v>Better than baseline</x:v>
      </x:c>
      <x:c r="J9" s="32" t="str"/>
      <x:c r="K9" s="32" t="str">
        <x:v>Pending</x:v>
      </x:c>
      <x:c r="L9" s="32" t="str">
        <x:v>Keep/tune rake</x:v>
      </x:c>
      <x:c r="M9" s="32" t="str">
        <x:v>Task T052</x:v>
      </x:c>
    </x:row>
    <x:row r="10">
      <x:c r="A10" s="32" t="str">
        <x:v>CFD-03</x:v>
      </x:c>
      <x:c r="B10" s="36" t="n">
        <x:v>46207</x:v>
      </x:c>
      <x:c r="C10" s="32" t="str">
        <x:v>External Aero CFD</x:v>
      </x:c>
      <x:c r="D10" s="32" t="str">
        <x:v>SimScale</x:v>
      </x:c>
      <x:c r="E10" s="32" t="str">
        <x:v>Raked + boat-tail</x:v>
      </x:c>
      <x:c r="F10" s="32" t="str">
        <x:v>Does rear taper shrink wake?</x:v>
      </x:c>
      <x:c r="G10" s="32" t="str">
        <x:v>Same settings as CFD-01</x:v>
      </x:c>
      <x:c r="H10" s="32" t="str">
        <x:v>Relative drag/wake</x:v>
      </x:c>
      <x:c r="I10" s="32" t="str">
        <x:v>Best buildable variant</x:v>
      </x:c>
      <x:c r="J10" s="32" t="str"/>
      <x:c r="K10" s="32" t="str">
        <x:v>Pending</x:v>
      </x:c>
      <x:c r="L10" s="32" t="str">
        <x:v>Freeze aero geometry</x:v>
      </x:c>
      <x:c r="M10" s="32" t="str">
        <x:v>Task T053</x:v>
      </x:c>
    </x:row>
    <x:row r="11">
      <x:c r="A11" s="32" t="str">
        <x:v>PHY-01</x:v>
      </x:c>
      <x:c r="B11" s="36" t="n">
        <x:v>46244</x:v>
      </x:c>
      <x:c r="C11" s="32" t="str">
        <x:v>Physical Test</x:v>
      </x:c>
      <x:c r="D11" s="32" t="str">
        <x:v>Coast-down</x:v>
      </x:c>
      <x:c r="E11" s="32" t="str">
        <x:v>As-built v1</x:v>
      </x:c>
      <x:c r="F11" s="32" t="str">
        <x:v>How does real roll/drag feel?</x:v>
      </x:c>
      <x:c r="G11" s="32" t="str">
        <x:v>Same start/finish, same driver, logged tyre pressure</x:v>
      </x:c>
      <x:c r="H11" s="32" t="str">
        <x:v>Time / GPS speed / stability</x:v>
      </x:c>
      <x:c r="I11" s="32" t="str">
        <x:v>Repeatable clean run</x:v>
      </x:c>
      <x:c r="J11" s="32" t="str"/>
      <x:c r="K11" s="32" t="str">
        <x:v>Pending</x:v>
      </x:c>
      <x:c r="L11" s="32" t="str">
        <x:v>Tyre/ballast tuning</x:v>
      </x:c>
      <x:c r="M11" s="32" t="str">
        <x:v>Test notes</x:v>
      </x:c>
    </x:row>
    <x:row r="12">
      <x:c r="A12" s="32" t="str">
        <x:v>PHY-02</x:v>
      </x:c>
      <x:c r="B12" s="36" t="n">
        <x:v>46246</x:v>
      </x:c>
      <x:c r="C12" s="32" t="str">
        <x:v>Physical Test</x:v>
      </x:c>
      <x:c r="D12" s="32" t="str">
        <x:v>Tuft test</x:v>
      </x:c>
      <x:c r="E12" s="32" t="str">
        <x:v>As-built body</x:v>
      </x:c>
      <x:c r="F12" s="32" t="str">
        <x:v>Where is flow separating?</x:v>
      </x:c>
      <x:c r="G12" s="32" t="str">
        <x:v>Tufts, low-speed tow/coast, video</x:v>
      </x:c>
      <x:c r="H12" s="32" t="str">
        <x:v>Tuft stability/wake</x:v>
      </x:c>
      <x:c r="I12" s="32" t="str">
        <x:v>Identify simple fixes only</x:v>
      </x:c>
      <x:c r="J12" s="32" t="str"/>
      <x:c r="K12" s="32" t="str">
        <x:v>Pending</x:v>
      </x:c>
      <x:c r="L12" s="32" t="str">
        <x:v>Aero cleanup</x:v>
      </x:c>
      <x:c r="M12" s="32" t="str">
        <x:v>Test video</x:v>
      </x:c>
    </x:row>
  </x:sheetData>
  <x:mergeCells>
    <x:mergeCell ref="A1:M1"/>
    <x:mergeCell ref="A2:M2"/>
  </x:mergeCells>
  <x:conditionalFormatting sqref="A5:M12">
    <x:cfRule type="expression" dxfId="10" priority="1">
      <x:formula>$K5="Pass"</x:formula>
    </x:cfRule>
    <x:cfRule type="expression" dxfId="11" priority="2">
      <x:formula>$K5="Fail"</x:formula>
    </x:cfRule>
    <x:cfRule type="expression" dxfId="12" priority="3">
      <x:formula>$K5="Rerun"</x:formula>
    </x:cfRule>
  </x:conditionalFormatting>
  <x:dataValidations count="1">
    <x:dataValidation type="list" sqref="K5:K12">
      <x:formula1>"Pending,Pass,Fail,Mixed,Rerun"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81988e33464c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14" hidden="0" customWidth="1"/>
    <x:col min="5" max="5" width="12" hidden="0" customWidth="1"/>
    <x:col min="6" max="6" width="30" hidden="0" customWidth="1"/>
    <x:col min="7" max="7" width="12" hidden="0" customWidth="1"/>
    <x:col min="8" max="8" width="30" hidden="0" customWidth="1"/>
  </x:cols>
  <x:sheetData>
    <x:row r="1" ht="30" customHeight="1">
      <x:c r="A1" s="86" t="str">
        <x:v>Build Readiness Gate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Do not start irreversible construction until P0 gate criteria are green or consciously accepted.</x:v>
      </x:c>
    </x:row>
    <x:row r="4" ht="32" customHeight="1">
      <x:c r="A4" s="23" t="str">
        <x:v>Gate</x:v>
      </x:c>
      <x:c r="B4" s="23" t="str">
        <x:v>Criterion</x:v>
      </x:c>
      <x:c r="C4" s="23" t="str">
        <x:v>Target / Acceptance</x:v>
      </x:c>
      <x:c r="D4" s="23" t="str">
        <x:v>Status</x:v>
      </x:c>
      <x:c r="E4" s="23" t="str">
        <x:v>Due Date</x:v>
      </x:c>
      <x:c r="F4" s="23" t="str">
        <x:v>Evidence Needed</x:v>
      </x:c>
      <x:c r="G4" s="23" t="str">
        <x:v>Owner</x:v>
      </x:c>
      <x:c r="H4" s="23" t="str">
        <x:v>Notes</x:v>
      </x:c>
    </x:row>
    <x:row r="5">
      <x:c r="A5" s="32" t="str">
        <x:v>Gate 0</x:v>
      </x:c>
      <x:c r="B5" s="32" t="str">
        <x:v>Live rules and application facts verified</x:v>
      </x:c>
      <x:c r="C5" s="32" t="str">
        <x:v>Portal date/deadline/rules snapshot saved</x:v>
      </x:c>
      <x:c r="D5" s="32" t="str">
        <x:v>Not Started</x:v>
      </x:c>
      <x:c r="E5" s="36" t="n">
        <x:v>46191</x:v>
      </x:c>
      <x:c r="F5" s="32" t="str">
        <x:v>Screenshot/link in /01_rules</x:v>
      </x:c>
      <x:c r="G5" s="32" t="str">
        <x:v>Kenny</x:v>
      </x:c>
      <x:c r="H5" s="32" t="str"/>
    </x:row>
    <x:row r="6">
      <x:c r="A6" s="32" t="str">
        <x:v>Gate 0</x:v>
      </x:c>
      <x:c r="B6" s="32" t="str">
        <x:v>Concept one-second recognition</x:v>
      </x:c>
      <x:c r="C6" s="32" t="str">
        <x:v>2+ people identify gas heater/cylinder immediately</x:v>
      </x:c>
      <x:c r="D6" s="32" t="str">
        <x:v>Not Started</x:v>
      </x:c>
      <x:c r="E6" s="36" t="n">
        <x:v>46201</x:v>
      </x:c>
      <x:c r="F6" s="32" t="str">
        <x:v>Feedback notes</x:v>
      </x:c>
      <x:c r="G6" s="32" t="str">
        <x:v>Kenny</x:v>
      </x:c>
      <x:c r="H6" s="32" t="str"/>
    </x:row>
    <x:row r="7">
      <x:c r="A7" s="32" t="str">
        <x:v>Gate 1</x:v>
      </x:c>
      <x:c r="B7" s="32" t="str">
        <x:v>Application package ready/submitted</x:v>
      </x:c>
      <x:c r="C7" s="32" t="str">
        <x:v>Sketch + pitch + skit ready; submitted if portal available</x:v>
      </x:c>
      <x:c r="D7" s="32" t="str">
        <x:v>Not Started</x:v>
      </x:c>
      <x:c r="E7" s="36" t="n">
        <x:v>46202</x:v>
      </x:c>
      <x:c r="F7" s="32" t="str">
        <x:v>Submission proof or blocker note</x:v>
      </x:c>
      <x:c r="G7" s="32" t="str">
        <x:v>Kenny</x:v>
      </x:c>
      <x:c r="H7" s="32" t="str"/>
    </x:row>
    <x:row r="8">
      <x:c r="A8" s="32" t="str">
        <x:v>Gate 1</x:v>
      </x:c>
      <x:c r="B8" s="32" t="str">
        <x:v>CAD master complete</x:v>
      </x:c>
      <x:c r="C8" s="32" t="str">
        <x:v>Chassis/body/driver/wheels/steering/brake/effect packaged</x:v>
      </x:c>
      <x:c r="D8" s="32" t="str">
        <x:v>Not Started</x:v>
      </x:c>
      <x:c r="E8" s="36" t="n">
        <x:v>46209</x:v>
      </x:c>
      <x:c r="F8" s="32" t="str">
        <x:v>Fusion screenshots/model version</x:v>
      </x:c>
      <x:c r="G8" s="32" t="str">
        <x:v>Kenny</x:v>
      </x:c>
      <x:c r="H8" s="32" t="str"/>
    </x:row>
    <x:row r="9">
      <x:c r="A9" s="32" t="str">
        <x:v>Gate 1</x:v>
      </x:c>
      <x:c r="B9" s="32" t="str">
        <x:v>Structural FEA reviewed</x:v>
      </x:c>
      <x:c r="C9" s="32" t="str">
        <x:v>Jump/landing load case approximated; target SF ≈ 2 on stressed joints</x:v>
      </x:c>
      <x:c r="D9" s="32" t="str">
        <x:v>Not Started</x:v>
      </x:c>
      <x:c r="E9" s="36" t="n">
        <x:v>46209</x:v>
      </x:c>
      <x:c r="F9" s="32" t="str">
        <x:v>FEA report/screenshots</x:v>
      </x:c>
      <x:c r="G9" s="32" t="str">
        <x:v>Kenny</x:v>
      </x:c>
      <x:c r="H9" s="32" t="str"/>
    </x:row>
    <x:row r="10">
      <x:c r="A10" s="32" t="str">
        <x:v>Gate 1</x:v>
      </x:c>
      <x:c r="B10" s="32" t="str">
        <x:v>CFD comparison reviewed</x:v>
      </x:c>
      <x:c r="C10" s="32" t="str">
        <x:v>Raked/boat-tail variant clearly better than upright baseline</x:v>
      </x:c>
      <x:c r="D10" s="32" t="str">
        <x:v>Not Started</x:v>
      </x:c>
      <x:c r="E10" s="36" t="n">
        <x:v>46209</x:v>
      </x:c>
      <x:c r="F10" s="32" t="str">
        <x:v>CFD comparison table</x:v>
      </x:c>
      <x:c r="G10" s="32" t="str">
        <x:v>Kenny</x:v>
      </x:c>
      <x:c r="H10" s="32" t="str"/>
    </x:row>
    <x:row r="11">
      <x:c r="A11" s="32" t="str">
        <x:v>Gate 1</x:v>
      </x:c>
      <x:c r="B11" s="32" t="str">
        <x:v>Mass and CoG acceptable</x:v>
      </x:c>
      <x:c r="C11" s="32" t="str">
        <x:v>Under 80 kg excluding driver; high mass minimized; ballast low/removable</x:v>
      </x:c>
      <x:c r="D11" s="32" t="str">
        <x:v>Not Started</x:v>
      </x:c>
      <x:c r="E11" s="36" t="n">
        <x:v>46209</x:v>
      </x:c>
      <x:c r="F11" s="32" t="str">
        <x:v>Mass budget + CoG estimate</x:v>
      </x:c>
      <x:c r="G11" s="32" t="str">
        <x:v>Kenny</x:v>
      </x:c>
      <x:c r="H11" s="32" t="str"/>
    </x:row>
    <x:row r="12">
      <x:c r="A12" s="32" t="str">
        <x:v>Gate 1</x:v>
      </x:c>
      <x:c r="B12" s="32" t="str">
        <x:v>Steering and brakes packaged</x:v>
      </x:c>
      <x:c r="C12" s="32" t="str">
        <x:v>Functional, accessible, inspectable; no body interference</x:v>
      </x:c>
      <x:c r="D12" s="32" t="str">
        <x:v>Not Started</x:v>
      </x:c>
      <x:c r="E12" s="36" t="n">
        <x:v>46209</x:v>
      </x:c>
      <x:c r="F12" s="32" t="str">
        <x:v>CAD + checklist</x:v>
      </x:c>
      <x:c r="G12" s="32" t="str">
        <x:v>Kenny</x:v>
      </x:c>
      <x:c r="H12" s="32" t="str"/>
    </x:row>
    <x:row r="13">
      <x:c r="A13" s="32" t="str">
        <x:v>Gate 1</x:v>
      </x:c>
      <x:c r="B13" s="32" t="str">
        <x:v>Effect legal and reliable</x:v>
      </x:c>
      <x:c r="C13" s="32" t="str">
        <x:v>No batteries/stored energy/pyro/smoke; fallback exists</x:v>
      </x:c>
      <x:c r="D13" s="32" t="str">
        <x:v>Not Started</x:v>
      </x:c>
      <x:c r="E13" s="36" t="n">
        <x:v>46209</x:v>
      </x:c>
      <x:c r="F13" s="32" t="str">
        <x:v>Effect scorecard</x:v>
      </x:c>
      <x:c r="G13" s="32" t="str">
        <x:v>Kenny</x:v>
      </x:c>
      <x:c r="H13" s="32" t="str"/>
    </x:row>
    <x:row r="14">
      <x:c r="A14" s="32" t="str">
        <x:v>Gate 1</x:v>
      </x:c>
      <x:c r="B14" s="32" t="str">
        <x:v>Build drawings/cut list ready</x:v>
      </x:c>
      <x:c r="C14" s="32" t="str">
        <x:v>Someone else can follow the build sequence</x:v>
      </x:c>
      <x:c r="D14" s="32" t="str">
        <x:v>Not Started</x:v>
      </x:c>
      <x:c r="E14" s="36" t="n">
        <x:v>46213</x:v>
      </x:c>
      <x:c r="F14" s="32" t="str">
        <x:v>Drawings + assembly sequence</x:v>
      </x:c>
      <x:c r="G14" s="32" t="str">
        <x:v>Kenny</x:v>
      </x:c>
      <x:c r="H14" s="32" t="str"/>
    </x:row>
    <x:row r="15">
      <x:c r="A15" s="32" t="str">
        <x:v>Gate 2</x:v>
      </x:c>
      <x:c r="B15" s="32" t="str">
        <x:v>Rolling chassis passes flat test</x:v>
      </x:c>
      <x:c r="C15" s="32" t="str">
        <x:v>Steers/stops at low speed; no wobble or structural issue</x:v>
      </x:c>
      <x:c r="D15" s="32" t="str">
        <x:v>Not Started</x:v>
      </x:c>
      <x:c r="E15" s="36" t="n">
        <x:v>46225</x:v>
      </x:c>
      <x:c r="F15" s="32" t="str">
        <x:v>Test notes/video</x:v>
      </x:c>
      <x:c r="G15" s="32" t="str">
        <x:v>Kenny</x:v>
      </x:c>
      <x:c r="H15" s="32" t="str"/>
    </x:row>
    <x:row r="16">
      <x:c r="A16" s="32" t="str">
        <x:v>Gate 2</x:v>
      </x:c>
      <x:c r="B16" s="32" t="str">
        <x:v>Static load test passed</x:v>
      </x:c>
      <x:c r="C16" s="32" t="str">
        <x:v>No dangerous flex/cracks/fastener movement</x:v>
      </x:c>
      <x:c r="D16" s="32" t="str">
        <x:v>Not Started</x:v>
      </x:c>
      <x:c r="E16" s="36" t="n">
        <x:v>46226</x:v>
      </x:c>
      <x:c r="F16" s="32" t="str">
        <x:v>Load test notes</x:v>
      </x:c>
      <x:c r="G16" s="32" t="str">
        <x:v>Kenny</x:v>
      </x:c>
      <x:c r="H16" s="32" t="str"/>
    </x:row>
    <x:row r="17">
      <x:c r="A17" s="32" t="str">
        <x:v>Gate 3</x:v>
      </x:c>
      <x:c r="B17" s="32" t="str">
        <x:v>Body/effects do not interfere with critical systems</x:v>
      </x:c>
      <x:c r="C17" s="32" t="str">
        <x:v>No wheel/steering/brake/cockpit interference</x:v>
      </x:c>
      <x:c r="D17" s="32" t="str">
        <x:v>Not Started</x:v>
      </x:c>
      <x:c r="E17" s="36" t="n">
        <x:v>46236</x:v>
      </x:c>
      <x:c r="F17" s="32" t="str">
        <x:v>Inspection dry run</x:v>
      </x:c>
      <x:c r="G17" s="32" t="str">
        <x:v>Kenny</x:v>
      </x:c>
      <x:c r="H17" s="32" t="str"/>
    </x:row>
    <x:row r="18">
      <x:c r="A18" s="32" t="str">
        <x:v>Gate 4</x:v>
      </x:c>
      <x:c r="B18" s="32" t="str">
        <x:v>Medium-slope testing acceptable</x:v>
      </x:c>
      <x:c r="C18" s="32" t="str">
        <x:v>Clean run; stopping and steering confidence</x:v>
      </x:c>
      <x:c r="D18" s="32" t="str">
        <x:v>Not Started</x:v>
      </x:c>
      <x:c r="E18" s="36" t="n">
        <x:v>46250</x:v>
      </x:c>
      <x:c r="F18" s="32" t="str">
        <x:v>Handling report</x:v>
      </x:c>
      <x:c r="G18" s="32" t="str">
        <x:v>Kenny</x:v>
      </x:c>
      <x:c r="H18" s="32" t="str"/>
    </x:row>
    <x:row r="19">
      <x:c r="A19" s="32" t="str">
        <x:v>Gate 4</x:v>
      </x:c>
      <x:c r="B19" s="32" t="str">
        <x:v>Pre-tech checklist complete</x:v>
      </x:c>
      <x:c r="C19" s="32" t="str">
        <x:v>Rules, safety gear, weight, dimensions, steering, brakes checked</x:v>
      </x:c>
      <x:c r="D19" s="32" t="str">
        <x:v>Not Started</x:v>
      </x:c>
      <x:c r="E19" s="36" t="n">
        <x:v>46254</x:v>
      </x:c>
      <x:c r="F19" s="32" t="str">
        <x:v>Checklist evidence</x:v>
      </x:c>
      <x:c r="G19" s="32" t="str">
        <x:v>Kenny</x:v>
      </x:c>
      <x:c r="H19" s="32" t="str"/>
    </x:row>
  </x:sheetData>
  <x:mergeCells>
    <x:mergeCell ref="A1:H1"/>
    <x:mergeCell ref="A2:H2"/>
  </x:mergeCells>
  <x:conditionalFormatting sqref="A5:H19">
    <x:cfRule type="expression" dxfId="13" priority="1">
      <x:formula>$D5="Pass"</x:formula>
    </x:cfRule>
    <x:cfRule type="expression" dxfId="14" priority="2">
      <x:formula>$D5="Concern"</x:formula>
    </x:cfRule>
    <x:cfRule type="expression" dxfId="15" priority="3">
      <x:formula>$D5="Fail"</x:formula>
    </x:cfRule>
  </x:conditionalFormatting>
  <x:dataValidations count="1">
    <x:dataValidation type="list" sqref="D5:D19">
      <x:formula1>"Not Started,In Progress,Pass,Concern,Fail,Accepted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daa07af424af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6" hidden="0" customWidth="1"/>
    <x:col min="4" max="4" width="28" hidden="0" customWidth="1"/>
    <x:col min="5" max="5" width="18" hidden="0" customWidth="1"/>
    <x:col min="6" max="6" width="42" hidden="0" customWidth="1"/>
    <x:col min="7" max="7" width="12" hidden="0" customWidth="1"/>
    <x:col min="8" max="8" width="26" hidden="0" customWidth="1"/>
    <x:col min="9" max="9" width="34" hidden="0" customWidth="1"/>
  </x:cols>
  <x:sheetData>
    <x:row r="1" ht="30" customHeight="1">
      <x:c r="A1" s="86" t="str">
        <x:v>Build in Public Later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Keep this private until the idea is validated and build has started. Then publish clean, safe updates with traceable progress.</x:v>
      </x:c>
    </x:row>
    <x:row r="4" ht="32" customHeight="1">
      <x:c r="A4" s="45" t="str">
        <x:v>Item</x:v>
      </x:c>
      <x:c r="B4" s="45" t="str">
        <x:v>When to Use</x:v>
      </x:c>
      <x:c r="C4" s="45" t="str">
        <x:v>Public Content</x:v>
      </x:c>
      <x:c r="D4" s="45" t="str">
        <x:v>Private Evidence Source</x:v>
      </x:c>
      <x:c r="E4" s="45" t="str">
        <x:v>Status</x:v>
      </x:c>
      <x:c r="F4" s="45" t="str">
        <x:v>Risk Check</x:v>
      </x:c>
      <x:c r="G4" s="45" t="str">
        <x:v>Owner</x:v>
      </x:c>
      <x:c r="H4" s="45" t="str">
        <x:v>Suggested Channel</x:v>
      </x:c>
      <x:c r="I4" s="45" t="str">
        <x:v>Notes</x:v>
      </x:c>
    </x:row>
    <x:row r="5">
      <x:c r="A5" s="32" t="str">
        <x:v>Launch Trigger</x:v>
      </x:c>
      <x:c r="B5" s="32" t="str">
        <x:v>After Design Freeze + first safe rolling chassis test</x:v>
      </x:c>
      <x:c r="C5" s="32" t="str">
        <x:v>We are building a gas-heater soapbox for Joburg; here is the concept and first test.</x:v>
      </x:c>
      <x:c r="D5" s="32" t="str">
        <x:v>Design Pack + flat roll test</x:v>
      </x:c>
      <x:c r="E5" s="32" t="str">
        <x:v>Not Ready</x:v>
      </x:c>
      <x:c r="F5" s="32" t="str">
        <x:v>No unsafe test footage; no unapproved sponsor promises</x:v>
      </x:c>
      <x:c r="G5" s="32" t="str">
        <x:v>Kenny</x:v>
      </x:c>
      <x:c r="H5" s="32" t="str">
        <x:v>Landing page / LinkedIn / Instagram</x:v>
      </x:c>
      <x:c r="I5" s="32" t="str"/>
    </x:row>
    <x:row r="6">
      <x:c r="A6" s="32" t="str">
        <x:v>Update Template</x:v>
      </x:c>
      <x:c r="B6" s="32" t="str">
        <x:v>Weekly once building is stable</x:v>
      </x:c>
      <x:c r="C6" s="32" t="str">
        <x:v>This week we built/tested/fixed X. Next milestone: Y.</x:v>
      </x:c>
      <x:c r="D6" s="32" t="str">
        <x:v>Task tracker + test notes</x:v>
      </x:c>
      <x:c r="E6" s="32" t="str">
        <x:v>Draft</x:v>
      </x:c>
      <x:c r="F6" s="32" t="str">
        <x:v>Do not show exact personal address/workshop or risky speed tests</x:v>
      </x:c>
      <x:c r="G6" s="32" t="str">
        <x:v>Kenny</x:v>
      </x:c>
      <x:c r="H6" s="32" t="str">
        <x:v>Public build page</x:v>
      </x:c>
      <x:c r="I6" s="32" t="str"/>
    </x:row>
    <x:row r="7">
      <x:c r="A7" s="32" t="str">
        <x:v>Follower CTA</x:v>
      </x:c>
      <x:c r="B7" s="32" t="str">
        <x:v>After public launch</x:v>
      </x:c>
      <x:c r="C7" s="32" t="str">
        <x:v>Follow the build, subscribe for updates, suggest safe ideas.</x:v>
      </x:c>
      <x:c r="D7" s="32" t="str">
        <x:v>Subscriber list</x:v>
      </x:c>
      <x:c r="E7" s="32" t="str">
        <x:v>Backlog</x:v>
      </x:c>
      <x:c r="F7" s="32" t="str">
        <x:v>Keep data privacy simple</x:v>
      </x:c>
      <x:c r="G7" s="32" t="str">
        <x:v>Kenny</x:v>
      </x:c>
      <x:c r="H7" s="32" t="str">
        <x:v>HTML page / newsletter</x:v>
      </x:c>
      <x:c r="I7" s="32" t="str"/>
    </x:row>
    <x:row r="8">
      <x:c r="A8" s="32" t="str">
        <x:v>Build Info Hub</x:v>
      </x:c>
      <x:c r="B8" s="32" t="str">
        <x:v>After validation pack is clean</x:v>
      </x:c>
      <x:c r="C8" s="32" t="str">
        <x:v>Rules-aware overview, design goals, test milestones, sponsor-safe credits.</x:v>
      </x:c>
      <x:c r="D8" s="32" t="str">
        <x:v>As-built pack</x:v>
      </x:c>
      <x:c r="E8" s="32" t="str">
        <x:v>Backlog</x:v>
      </x:c>
      <x:c r="F8" s="32" t="str">
        <x:v>Mark what is provisional vs final</x:v>
      </x:c>
      <x:c r="G8" s="32" t="str">
        <x:v>Kenny</x:v>
      </x:c>
      <x:c r="H8" s="32" t="str">
        <x:v>Notion / static site / GitHub Pages</x:v>
      </x:c>
      <x:c r="I8" s="32" t="str"/>
    </x:row>
    <x:row r="9">
      <x:c r="A9" s="32" t="str">
        <x:v>Sponsor-Safe Credit</x:v>
      </x:c>
      <x:c r="B9" s="32" t="str">
        <x:v>Only after approval</x:v>
      </x:c>
      <x:c r="C9" s="32" t="str">
        <x:v>Thanks to approved support partner for materials/parts.</x:v>
      </x:c>
      <x:c r="D9" s="32" t="str">
        <x:v>Sponsor approval evidence</x:v>
      </x:c>
      <x:c r="E9" s="32" t="str">
        <x:v>Blocked Until Approval</x:v>
      </x:c>
      <x:c r="F9" s="32" t="str">
        <x:v>No logo/claim before Red Bull/sponsor approval</x:v>
      </x:c>
      <x:c r="G9" s="32" t="str">
        <x:v>Kenny</x:v>
      </x:c>
      <x:c r="H9" s="32" t="str">
        <x:v>All channels</x:v>
      </x:c>
      <x:c r="I9" s="32" t="str"/>
    </x:row>
    <x:row r="10">
      <x:c r="A10" s="32" t="str">
        <x:v>Failure Story</x:v>
      </x:c>
      <x:c r="B10" s="32" t="str">
        <x:v>When useful and safe</x:v>
      </x:c>
      <x:c r="C10" s="32" t="str">
        <x:v>We found a steering/brake/body issue and fixed it before race day.</x:v>
      </x:c>
      <x:c r="D10" s="32" t="str">
        <x:v>Risk register + before/after photos</x:v>
      </x:c>
      <x:c r="E10" s="32" t="str">
        <x:v>Backlog</x:v>
      </x:c>
      <x:c r="F10" s="32" t="str">
        <x:v>Frame as learning, not negligence</x:v>
      </x:c>
      <x:c r="G10" s="32" t="str">
        <x:v>Kenny</x:v>
      </x:c>
      <x:c r="H10" s="32" t="str">
        <x:v>Build log</x:v>
      </x:c>
      <x:c r="I10" s="32" t="str"/>
    </x:row>
  </x:sheetData>
  <x:mergeCells>
    <x:mergeCell ref="A1:I1"/>
    <x:mergeCell ref="A2:I2"/>
  </x:mergeCells>
  <x:conditionalFormatting sqref="A5:I10">
    <x:cfRule type="expression" dxfId="16" priority="1">
      <x:formula>$E5="Ready"</x:formula>
    </x:cfRule>
    <x:cfRule type="expression" dxfId="17" priority="2">
      <x:formula>$E5="Blocked Until Approval"</x:formula>
    </x:cfRule>
  </x:conditionalFormatting>
  <x:dataValidations count="1">
    <x:dataValidation type="list" sqref="E5:E10">
      <x:formula1>"Backlog,Draft,Not Ready,Ready,Blocked Until Approval,Published"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32e88aa88645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0" hidden="0" customWidth="1"/>
    <x:col min="4" max="4" width="26" hidden="0" customWidth="1"/>
    <x:col min="5" max="5" width="48" hidden="0" customWidth="1"/>
    <x:col min="6" max="6" width="20" hidden="0" customWidth="1"/>
    <x:col min="7" max="7" width="38" hidden="0" customWidth="1"/>
    <x:col min="8" max="8" width="16" hidden="0" customWidth="1"/>
  </x:cols>
  <x:sheetData>
    <x:row r="1" ht="30" customHeight="1">
      <x:c r="A1" s="86" t="str">
        <x:v>Resources &amp; Templates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Starter resources for beginner-accessible professional workflow. Keep plain URLs here so Excel remains transparent.</x:v>
      </x:c>
    </x:row>
    <x:row r="4" ht="32" customHeight="1">
      <x:c r="A4" s="23" t="str">
        <x:v>Category</x:v>
      </x:c>
      <x:c r="B4" s="23" t="str">
        <x:v>Resource</x:v>
      </x:c>
      <x:c r="C4" s="23" t="str">
        <x:v>Best Use</x:v>
      </x:c>
      <x:c r="D4" s="23" t="str">
        <x:v>Cost / Access Notes</x:v>
      </x:c>
      <x:c r="E4" s="23" t="str">
        <x:v>URL</x:v>
      </x:c>
      <x:c r="F4" s="23" t="str">
        <x:v>When to Use</x:v>
      </x:c>
      <x:c r="G4" s="23" t="str">
        <x:v>Risk / Caveat</x:v>
      </x:c>
      <x:c r="H4" s="23" t="str">
        <x:v>Tracker Link</x:v>
      </x:c>
    </x:row>
    <x:row r="5">
      <x:c r="A5" s="32" t="str">
        <x:v>Official Event</x:v>
      </x:c>
      <x:c r="B5" s="32" t="str">
        <x:v>Red Bull Joburg 2026 application page</x:v>
      </x:c>
      <x:c r="C5" s="32" t="str">
        <x:v>Confirm date, venue, application flow, and upload sketch</x:v>
      </x:c>
      <x:c r="D5" s="32" t="str">
        <x:v>Official public page</x:v>
      </x:c>
      <x:c r="E5" s="32" t="str">
        <x:v>https://www.redbull.com/za-en/events/red-bull-box-cart-race-south-africa/red-bull-soapbox-application</x:v>
      </x:c>
      <x:c r="F5" s="32" t="str">
        <x:v>18–29 Jun</x:v>
      </x:c>
      <x:c r="G5" s="32" t="str">
        <x:v>Portal/date details should be rechecked before commitments</x:v>
      </x:c>
      <x:c r="H5" s="32" t="str">
        <x:v>T002/T036</x:v>
      </x:c>
    </x:row>
    <x:row r="6">
      <x:c r="A6" s="32" t="str">
        <x:v>Rules Source</x:v>
      </x:c>
      <x:c r="B6" s="32" t="str">
        <x:v>Red Bull rules page</x:v>
      </x:c>
      <x:c r="C6" s="32" t="str">
        <x:v>Dimensions, gravity-only constraints, steering/brake expectations</x:v>
      </x:c>
      <x:c r="D6" s="32" t="str">
        <x:v>Official public page; content may be JS-rendered</x:v>
      </x:c>
      <x:c r="E6" s="32" t="str">
        <x:v>https://www.redbull.com/za-en/events/red-bull-box-cart-race-south-africa/red-bull-box-cart-rules</x:v>
      </x:c>
      <x:c r="F6" s="32" t="str">
        <x:v>18–19 Jun + pre-tech</x:v>
      </x:c>
      <x:c r="G6" s="32" t="str">
        <x:v>Use participation kit as binding when received</x:v>
      </x:c>
      <x:c r="H6" s="32" t="str">
        <x:v>Gate 0/Gate 4</x:v>
      </x:c>
    </x:row>
    <x:row r="7">
      <x:c r="A7" s="32" t="str">
        <x:v>CAD</x:v>
      </x:c>
      <x:c r="B7" s="32" t="str">
        <x:v>Autodesk Fusion for personal use</x:v>
      </x:c>
      <x:c r="C7" s="32" t="str">
        <x:v>Parametric CAD, drawings, basic simulation workflow</x:v>
      </x:c>
      <x:c r="D7" s="32" t="str">
        <x:v>Free limited version for qualifying personal/non-commercial users</x:v>
      </x:c>
      <x:c r="E7" s="32" t="str">
        <x:v>https://www.autodesk.com/products/fusion-360/personal</x:v>
      </x:c>
      <x:c r="F7" s="32" t="str">
        <x:v>22 Jun onward</x:v>
      </x:c>
      <x:c r="G7" s="32" t="str">
        <x:v>Check current license restrictions; advanced simulation may require trial/education/subscription</x:v>
      </x:c>
      <x:c r="H7" s="32" t="str">
        <x:v>T025/T045</x:v>
      </x:c>
    </x:row>
    <x:row r="8">
      <x:c r="A8" s="32" t="str">
        <x:v>Cloud CAD</x:v>
      </x:c>
      <x:c r="B8" s="32" t="str">
        <x:v>Onshape Free/Public</x:v>
      </x:c>
      <x:c r="C8" s="32" t="str">
        <x:v>Browser-based CAD backup and sharing public models</x:v>
      </x:c>
      <x:c r="D8" s="32" t="str">
        <x:v>Free public documents</x:v>
      </x:c>
      <x:c r="E8" s="32" t="str">
        <x:v>https://www.onshape.com/en/products/free</x:v>
      </x:c>
      <x:c r="F8" s="32" t="str">
        <x:v>Backup/teammate review</x:v>
      </x:c>
      <x:c r="G8" s="32" t="str">
        <x:v>Free work is public; avoid private sponsor/IP details</x:v>
      </x:c>
      <x:c r="H8" s="32" t="str">
        <x:v>Resources</x:v>
      </x:c>
    </x:row>
    <x:row r="9">
      <x:c r="A9" s="32" t="str">
        <x:v>Concept CAD</x:v>
      </x:c>
      <x:c r="B9" s="32" t="str">
        <x:v>SketchUp Free</x:v>
      </x:c>
      <x:c r="C9" s="32" t="str">
        <x:v>Fast body massing and visual mock-ups</x:v>
      </x:c>
      <x:c r="D9" s="32" t="str">
        <x:v>Browser-based free option</x:v>
      </x:c>
      <x:c r="E9" s="32" t="str">
        <x:v>https://www.sketchup.com/en/plans-and-pricing/sketchup-free</x:v>
      </x:c>
      <x:c r="F9" s="32" t="str">
        <x:v>Early geometry</x:v>
      </x:c>
      <x:c r="G9" s="32" t="str">
        <x:v>Not a full engineering simulation tool</x:v>
      </x:c>
      <x:c r="H9" s="32" t="str">
        <x:v>T031/T033</x:v>
      </x:c>
    </x:row>
    <x:row r="10">
      <x:c r="A10" s="32" t="str">
        <x:v>CFD</x:v>
      </x:c>
      <x:c r="B10" s="32" t="str">
        <x:v>SimScale CFD</x:v>
      </x:c>
      <x:c r="C10" s="32" t="str">
        <x:v>Browser-based external flow comparison and wake/drag visualization</x:v>
      </x:c>
      <x:c r="D10" s="32" t="str">
        <x:v>Community/free plan for testing/learning</x:v>
      </x:c>
      <x:c r="E10" s="32" t="str">
        <x:v>https://www.simscale.com/product/cfd/</x:v>
      </x:c>
      <x:c r="F10" s="32" t="str">
        <x:v>3–4 Jul + later checks</x:v>
      </x:c>
      <x:c r="G10" s="32" t="str">
        <x:v>Free plan limits/private project constraints may apply</x:v>
      </x:c>
      <x:c r="H10" s="32" t="str">
        <x:v>CFD-01–03</x:v>
      </x:c>
    </x:row>
    <x:row r="11">
      <x:c r="A11" s="32" t="str">
        <x:v>CFD Open Source</x:v>
      </x:c>
      <x:c r="B11" s="32" t="str">
        <x:v>OpenFOAM</x:v>
      </x:c>
      <x:c r="C11" s="32" t="str">
        <x:v>Advanced free CFD if you outgrow browser tools</x:v>
      </x:c>
      <x:c r="D11" s="32" t="str">
        <x:v>Open-source</x:v>
      </x:c>
      <x:c r="E11" s="32" t="str">
        <x:v>https://www.openfoam.com/</x:v>
      </x:c>
      <x:c r="F11" s="32" t="str">
        <x:v>Optional only</x:v>
      </x:c>
      <x:c r="G11" s="32" t="str">
        <x:v>Steep learning curve; avoid unless SimScale is insufficient</x:v>
      </x:c>
      <x:c r="H11" s="32" t="str">
        <x:v>Resources</x:v>
      </x:c>
    </x:row>
    <x:row r="12">
      <x:c r="A12" s="32" t="str">
        <x:v>CAD Examples</x:v>
      </x:c>
      <x:c r="B12" s="32" t="str">
        <x:v>GrabCAD Library</x:v>
      </x:c>
      <x:c r="C12" s="32" t="str">
        <x:v>Reference CAD models for wheels, seats, simple mechanisms</x:v>
      </x:c>
      <x:c r="D12" s="32" t="str">
        <x:v>Free public library</x:v>
      </x:c>
      <x:c r="E12" s="32" t="str">
        <x:v>https://grabcad.com/library</x:v>
      </x:c>
      <x:c r="F12" s="32" t="str">
        <x:v>CAD proxies</x:v>
      </x:c>
      <x:c r="G12" s="32" t="str">
        <x:v>Verify scale/quality; do not trust models structurally</x:v>
      </x:c>
      <x:c r="H12" s="32" t="str">
        <x:v>CAD skeleton</x:v>
      </x:c>
    </x:row>
    <x:row r="13">
      <x:c r="A13" s="32" t="str">
        <x:v>Project Docs</x:v>
      </x:c>
      <x:c r="B13" s="32" t="str">
        <x:v>Google Drive / GitHub / Notion</x:v>
      </x:c>
      <x:c r="C13" s="32" t="str">
        <x:v>Versioned build pack and future public story hub</x:v>
      </x:c>
      <x:c r="D13" s="32" t="str">
        <x:v>Free tiers available</x:v>
      </x:c>
      <x:c r="E13" s="32" t="str">
        <x:v>https://drive.google.com/ / https://github.com/ / https://www.notion.so/</x:v>
      </x:c>
      <x:c r="F13" s="32" t="str">
        <x:v>After Design Freeze</x:v>
      </x:c>
      <x:c r="G13" s="32" t="str">
        <x:v>Keep private until validation and approvals</x:v>
      </x:c>
      <x:c r="H13" s="32" t="str">
        <x:v>Build in Public Later</x:v>
      </x:c>
    </x:row>
    <x:row r="14">
      <x:c r="A14" s="32" t="str">
        <x:v>Physical Test</x:v>
      </x:c>
      <x:c r="B14" s="32" t="str">
        <x:v>Tuft testing + coast-down timing</x:v>
      </x:c>
      <x:c r="C14" s="32" t="str">
        <x:v>Low-cost real-world validation for aero/rolling resistance</x:v>
      </x:c>
      <x:c r="D14" s="32" t="str">
        <x:v>Wool + tape + phone camera/GPS</x:v>
      </x:c>
      <x:c r="E14" s="32" t="str">
        <x:v>Local test method</x:v>
      </x:c>
      <x:c r="F14" s="32" t="str">
        <x:v>August</x:v>
      </x:c>
      <x:c r="G14" s="32" t="str">
        <x:v>Use safe/legal roads only; spotter/PPE required</x:v>
      </x:c>
      <x:c r="H14" s="32" t="str">
        <x:v>PHY-01/PHY-02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2cd1264f4d42c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4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30" customHeight="1">
      <x:c r="A1" s="86" t="str">
        <x:v>How to Use This Tracker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</x:row>
    <x:row r="2" ht="32" customHeight="1">
      <x:c r="A2" s="14" t="str">
        <x:v>Designed for fast daily updates, traceability, and a later public build story without creating admin sludge.</x:v>
      </x:c>
    </x:row>
    <x:row r="4" ht="32" customHeight="1">
      <x:c r="A4" s="23" t="str">
        <x:v>Step</x:v>
      </x:c>
      <x:c r="B4" s="23" t="str">
        <x:v>Action</x:v>
      </x:c>
      <x:c r="C4" s="23" t="str">
        <x:v>Where</x:v>
      </x:c>
      <x:c r="D4" s="23" t="str">
        <x:v>Frequency</x:v>
      </x:c>
      <x:c r="E4" s="23" t="str">
        <x:v>Why It Matters</x:v>
      </x:c>
      <x:c r="F4" s="23" t="str">
        <x:v>Customization Tip</x:v>
      </x:c>
    </x:row>
    <x:row r="5">
      <x:c r="A5" s="32" t="str">
        <x:v>1</x:v>
      </x:c>
      <x:c r="B5" s="32" t="str">
        <x:v>Start each day on Dashboard, then open Day Focus for the current date.</x:v>
      </x:c>
      <x:c r="C5" s="32" t="str">
        <x:v>Dashboard / Day Focus</x:v>
      </x:c>
      <x:c r="D5" s="32" t="str">
        <x:v>Daily</x:v>
      </x:c>
      <x:c r="E5" s="32" t="str">
        <x:v>Keeps one clear priority per day.</x:v>
      </x:c>
      <x:c r="F5" s="32" t="str">
        <x:v>Change the daily focus if a blocker appears; do not just pile tasks.</x:v>
      </x:c>
    </x:row>
    <x:row r="6">
      <x:c r="A6" s="32" t="str">
        <x:v>2</x:v>
      </x:c>
      <x:c r="B6" s="32" t="str">
        <x:v>Use Daily Schedule as the source of truth. Set Done? to ☑ when complete; set Status if blocked or in progress.</x:v>
      </x:c>
      <x:c r="C6" s="32" t="str">
        <x:v>Daily Schedule</x:v>
      </x:c>
      <x:c r="D6" s="32" t="str">
        <x:v>Each work session</x:v>
      </x:c>
      <x:c r="E6" s="32" t="str">
        <x:v>Progress formulas and dashboard rely on these fields.</x:v>
      </x:c>
      <x:c r="F6" s="32" t="str">
        <x:v>Use Notes / Comments for evidence links, supplier names, or test outcomes.</x:v>
      </x:c>
    </x:row>
    <x:row r="7">
      <x:c r="A7" s="32" t="str">
        <x:v>3</x:v>
      </x:c>
      <x:c r="B7" s="32" t="str">
        <x:v>Any row with Decision? = Yes should have a real answer in Decision Log.</x:v>
      </x:c>
      <x:c r="C7" s="32" t="str">
        <x:v>Decision Log</x:v>
      </x:c>
      <x:c r="D7" s="32" t="str">
        <x:v>Daily until early July</x:v>
      </x:c>
      <x:c r="E7" s="32" t="str">
        <x:v>Prevents hidden assumptions becoming expensive build mistakes.</x:v>
      </x:c>
      <x:c r="F7" s="32" t="str">
        <x:v>Add decision criteria before choosing.</x:v>
      </x:c>
    </x:row>
    <x:row r="8">
      <x:c r="A8" s="32" t="str">
        <x:v>4</x:v>
      </x:c>
      <x:c r="B8" s="32" t="str">
        <x:v>Log every FEA/CFD/physical test before changing the design.</x:v>
      </x:c>
      <x:c r="C8" s="32" t="str">
        <x:v>Simulation Runs</x:v>
      </x:c>
      <x:c r="D8" s="32" t="str">
        <x:v>Each test</x:v>
      </x:c>
      <x:c r="E8" s="32" t="str">
        <x:v>Good iteration needs comparable evidence.</x:v>
      </x:c>
      <x:c r="F8" s="32" t="str">
        <x:v>Duplicate a run row when testing a new variant.</x:v>
      </x:c>
    </x:row>
    <x:row r="9">
      <x:c r="A9" s="32" t="str">
        <x:v>5</x:v>
      </x:c>
      <x:c r="B9" s="32" t="str">
        <x:v>Use Build Readiness Gate as the go/no-go board.</x:v>
      </x:c>
      <x:c r="C9" s="32" t="str">
        <x:v>Build Readiness Gate</x:v>
      </x:c>
      <x:c r="D9" s="32" t="str">
        <x:v>Twice weekly</x:v>
      </x:c>
      <x:c r="E9" s="32" t="str">
        <x:v>Construction should not start on a fragile idea.</x:v>
      </x:c>
      <x:c r="F9" s="32" t="str">
        <x:v>Only mark Pass if evidence exists.</x:v>
      </x:c>
    </x:row>
    <x:row r="10">
      <x:c r="A10" s="32" t="str">
        <x:v>6</x:v>
      </x:c>
      <x:c r="B10" s="32" t="str">
        <x:v>Treat Build in Public Later as a private backlog for now.</x:v>
      </x:c>
      <x:c r="C10" s="32" t="str">
        <x:v>Build in Public Later</x:v>
      </x:c>
      <x:c r="D10" s="32" t="str">
        <x:v>Weekly</x:v>
      </x:c>
      <x:c r="E10" s="32" t="str">
        <x:v>Your public story will be stronger after validation and safe testing.</x:v>
      </x:c>
      <x:c r="F10" s="32" t="str">
        <x:v>Launch only when it reduces confusion and attracts help.</x:v>
      </x:c>
    </x:row>
    <x:row r="11">
      <x:c r="A11" s="32" t="str">
        <x:v>7</x:v>
      </x:c>
      <x:c r="B11" s="32" t="str">
        <x:v>At the end of each week, filter unfinished P0/P1 tasks and move only what still matters.</x:v>
      </x:c>
      <x:c r="C11" s="32" t="str">
        <x:v>Daily Schedule</x:v>
      </x:c>
      <x:c r="D11" s="32" t="str">
        <x:v>Weekly</x:v>
      </x:c>
      <x:c r="E11" s="32" t="str">
        <x:v>Keeps the plan alive instead of becoming spreadsheet archaeology.</x:v>
      </x:c>
      <x:c r="F11" s="32" t="str">
        <x:v>Archive deferred work rather than dragging it forever.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17b268daf68479d"/>
  </x:tableParts>
</x:worksheet>
</file>